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vVentoGroup\vento-shell\outputs\019f9f2a-9508-77e3-a9ec-4ee497bf6531\"/>
    </mc:Choice>
  </mc:AlternateContent>
  <xr:revisionPtr revIDLastSave="0" documentId="13_ncr:1_{866CE750-E0ED-49E5-86C6-E47153BA5747}" xr6:coauthVersionLast="47" xr6:coauthVersionMax="47" xr10:uidLastSave="{00000000-0000-0000-0000-000000000000}"/>
  <bookViews>
    <workbookView xWindow="-120" yWindow="-120" windowWidth="29040" windowHeight="15720" firstSheet="1" activeTab="1" xr2:uid="{51447D05-4905-4938-A82F-79CFE612C553}"/>
  </bookViews>
  <sheets>
    <sheet name="99_LISTAS" sheetId="2" state="veryHidden" r:id="rId1"/>
    <sheet name="00_INICIO" sheetId="1" r:id="rId2"/>
    <sheet name="01_CATALOGOS" sheetId="3" r:id="rId3"/>
    <sheet name="02_UBICACIONES" sheetId="4" r:id="rId4"/>
    <sheet name="03_SOLICITUDES" sheetId="5" r:id="rId5"/>
    <sheet name="04_REMISIONES" sheetId="6" r:id="rId6"/>
    <sheet name="05_RECEPCIONES" sheetId="7" r:id="rId7"/>
    <sheet name="06_CONTEOS" sheetId="8" r:id="rId8"/>
    <sheet name="07_MOVIMIENTOS" sheetId="9" r:id="rId9"/>
    <sheet name="08_PRODUCCION" sheetId="10" r:id="rId10"/>
    <sheet name="09_CALIDAD_MERMAS" sheetId="11" r:id="rId11"/>
    <sheet name="10_RETORNABLES" sheetId="12" r:id="rId12"/>
    <sheet name="11_ESTACIONES" sheetId="13" r:id="rId13"/>
    <sheet name="12_PANEL" sheetId="14" r:id="rId14"/>
  </sheets>
  <externalReferences>
    <externalReference r:id="rId15"/>
  </externalReferences>
  <definedNames>
    <definedName name="lstCondiciones">'99_LISTAS'!$I$2:$I$8</definedName>
    <definedName name="lstDecisiones">'99_LISTAS'!$J$2:$J$7</definedName>
    <definedName name="lstDisposiciones">'99_LISTAS'!$L$2:$L$8</definedName>
    <definedName name="lstEstadosCalidad">'99_LISTAS'!$P$2:$P$6</definedName>
    <definedName name="lstEstadosOperacion">'99_LISTAS'!$H$2:$H$7</definedName>
    <definedName name="lstEstadosRegistro">'99_LISTAS'!$N$2:$N$6</definedName>
    <definedName name="lstEstadosRemision">'99_LISTAS'!$D$2:$D$9</definedName>
    <definedName name="lstEstadosSolicitud">'99_LISTAS'!$B$2:$B$7</definedName>
    <definedName name="lstMetodosConteo">'99_LISTAS'!$F$2:$F$6</definedName>
    <definedName name="lstMetodosRecepcion">'99_LISTAS'!$R$2:$R$6</definedName>
    <definedName name="lstPerfilesEstacion">'99_LISTAS'!$M$2:$M$8</definedName>
    <definedName name="lstPrioridades">'99_LISTAS'!$C$2:$C$4</definedName>
    <definedName name="lstProductos">'01_CATALOGOS'!$A$8:$A$200</definedName>
    <definedName name="lstSedes">'99_LISTAS'!$A$2:$A$5</definedName>
    <definedName name="lstSiNo">'99_LISTAS'!$Q$2:$Q$3</definedName>
    <definedName name="lstTiposCalidadMerma">'99_LISTAS'!$K$2:$K$8</definedName>
    <definedName name="lstTiposMovimiento">'99_LISTAS'!$G$2:$G$8</definedName>
    <definedName name="lstTiposRetornable">'99_LISTAS'!$O$2:$O$8</definedName>
    <definedName name="lstUbicaciones">'02_UBICACIONES'!$A$8:$A$200</definedName>
    <definedName name="lstUnidades">'99_LISTAS'!$E$2:$E$10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3" i="14" l="1"/>
  <c r="B22" i="14"/>
  <c r="B21" i="14"/>
  <c r="B20" i="14"/>
  <c r="B19" i="14"/>
  <c r="G14" i="14"/>
  <c r="D14" i="14"/>
  <c r="A14" i="14"/>
  <c r="J10" i="14"/>
  <c r="G10" i="14"/>
  <c r="D10" i="14"/>
  <c r="A10" i="14"/>
  <c r="I8" i="12"/>
  <c r="R8" i="10"/>
  <c r="J14" i="14" s="1"/>
  <c r="M8" i="8"/>
  <c r="R8" i="6"/>
  <c r="Q8" i="6"/>
  <c r="S8" i="6" s="1"/>
  <c r="M8" i="5"/>
</calcChain>
</file>

<file path=xl/sharedStrings.xml><?xml version="1.0" encoding="utf-8"?>
<sst xmlns="http://schemas.openxmlformats.org/spreadsheetml/2006/main" count="494" uniqueCount="316">
  <si>
    <t>Sedes</t>
  </si>
  <si>
    <t>Centro de Producción</t>
  </si>
  <si>
    <t>Vento Café</t>
  </si>
  <si>
    <t>Saudo</t>
  </si>
  <si>
    <t>Molka</t>
  </si>
  <si>
    <t>EstadosSolicitud</t>
  </si>
  <si>
    <t>BORRADOR</t>
  </si>
  <si>
    <t>SOLICITADA</t>
  </si>
  <si>
    <t>APROBADA</t>
  </si>
  <si>
    <t>EN PREPARACIÓN</t>
  </si>
  <si>
    <t>CERRADA</t>
  </si>
  <si>
    <t>CANCELADA</t>
  </si>
  <si>
    <t>Prioridades</t>
  </si>
  <si>
    <t>NORMAL</t>
  </si>
  <si>
    <t>ALTA</t>
  </si>
  <si>
    <t>URGENTE</t>
  </si>
  <si>
    <t>EstadosRemision</t>
  </si>
  <si>
    <t>PREPARACIÓN</t>
  </si>
  <si>
    <t>CARGADA</t>
  </si>
  <si>
    <t>DESPACHADA</t>
  </si>
  <si>
    <t>EN TRÁNSITO</t>
  </si>
  <si>
    <t>RECIBIDA</t>
  </si>
  <si>
    <t>Unidades</t>
  </si>
  <si>
    <t>unidad</t>
  </si>
  <si>
    <t>kg</t>
  </si>
  <si>
    <t>g</t>
  </si>
  <si>
    <t>L</t>
  </si>
  <si>
    <t>mL</t>
  </si>
  <si>
    <t>caja</t>
  </si>
  <si>
    <t>bolsa</t>
  </si>
  <si>
    <t>paquete</t>
  </si>
  <si>
    <t>bandeja</t>
  </si>
  <si>
    <t>MetodosConteo</t>
  </si>
  <si>
    <t>CONTEO CIEGO</t>
  </si>
  <si>
    <t>CONTEO GUIADO</t>
  </si>
  <si>
    <t>RECONTEO</t>
  </si>
  <si>
    <t>CÍCLICO</t>
  </si>
  <si>
    <t>GENERAL</t>
  </si>
  <si>
    <t>TiposMovimiento</t>
  </si>
  <si>
    <t>INGRESO</t>
  </si>
  <si>
    <t>REUBICACIÓN</t>
  </si>
  <si>
    <t>CONSUMO</t>
  </si>
  <si>
    <t>TRASLADO</t>
  </si>
  <si>
    <t>SALIDA</t>
  </si>
  <si>
    <t>DEVOLUCIÓN</t>
  </si>
  <si>
    <t>AJUSTE DOCUMENTADO</t>
  </si>
  <si>
    <t>EstadosOperacion</t>
  </si>
  <si>
    <t>EN CURSO</t>
  </si>
  <si>
    <t>PENDIENTE</t>
  </si>
  <si>
    <t>POR VALIDAR</t>
  </si>
  <si>
    <t>Condiciones</t>
  </si>
  <si>
    <t>CONFORME</t>
  </si>
  <si>
    <t>DAÑADO</t>
  </si>
  <si>
    <t>VENCIDO</t>
  </si>
  <si>
    <t>PRÓXIMO A VENCER</t>
  </si>
  <si>
    <t>CUARENTENA</t>
  </si>
  <si>
    <t>FRÍO FUERA DE RANGO</t>
  </si>
  <si>
    <t>NO CONFORME</t>
  </si>
  <si>
    <t>Decisiones</t>
  </si>
  <si>
    <t>ACEPTAR</t>
  </si>
  <si>
    <t>ACEPTAR PARCIAL</t>
  </si>
  <si>
    <t>RECHAZAR</t>
  </si>
  <si>
    <t>DEVOLVER</t>
  </si>
  <si>
    <t>CORREGIR</t>
  </si>
  <si>
    <t>TiposCalidadMerma</t>
  </si>
  <si>
    <t>CONTROL DE CALIDAD</t>
  </si>
  <si>
    <t>TEMPERATURA</t>
  </si>
  <si>
    <t>VENCIMIENTO</t>
  </si>
  <si>
    <t>MERMA</t>
  </si>
  <si>
    <t>PÉRDIDA</t>
  </si>
  <si>
    <t>REPROCESO</t>
  </si>
  <si>
    <t>Disposiciones</t>
  </si>
  <si>
    <t>LIBERAR</t>
  </si>
  <si>
    <t>RETENER</t>
  </si>
  <si>
    <t>REPROCESAR</t>
  </si>
  <si>
    <t>DESECHAR</t>
  </si>
  <si>
    <t>INVESTIGAR</t>
  </si>
  <si>
    <t>PerfilesEstacion</t>
  </si>
  <si>
    <t>CENTRO DE PRODUCCIÓN</t>
  </si>
  <si>
    <t>ESCÁNER DE ALMACÉN</t>
  </si>
  <si>
    <t>RECEPCIÓN Y MEDICIÓN</t>
  </si>
  <si>
    <t>DESPACHO Y ENTREGA</t>
  </si>
  <si>
    <t>POOL MÓVIL</t>
  </si>
  <si>
    <t>PANTALLA DE OBSERVACIÓN</t>
  </si>
  <si>
    <t>HOST DE PERIFÉRICOS</t>
  </si>
  <si>
    <t>EstadosRegistro</t>
  </si>
  <si>
    <t>PENDIENTE DE DEFINIR</t>
  </si>
  <si>
    <t>ACTIVO</t>
  </si>
  <si>
    <t>INACTIVO</t>
  </si>
  <si>
    <t>BLOQUEADO</t>
  </si>
  <si>
    <t>TiposRetornable</t>
  </si>
  <si>
    <t>CANASTILLA</t>
  </si>
  <si>
    <t>CAJA</t>
  </si>
  <si>
    <t>CONTENEDOR</t>
  </si>
  <si>
    <t>BANDEJA</t>
  </si>
  <si>
    <t>GARRAFA</t>
  </si>
  <si>
    <t>LPN</t>
  </si>
  <si>
    <t>OTRO</t>
  </si>
  <si>
    <t>EstadosCalidad</t>
  </si>
  <si>
    <t>LIBERADO</t>
  </si>
  <si>
    <t>RETENIDO</t>
  </si>
  <si>
    <t>RECHAZADO</t>
  </si>
  <si>
    <t>CORREGIDO</t>
  </si>
  <si>
    <t>SiNo</t>
  </si>
  <si>
    <t>SÍ</t>
  </si>
  <si>
    <t>NO</t>
  </si>
  <si>
    <t>MetodosRecepcion</t>
  </si>
  <si>
    <t>CONTEO</t>
  </si>
  <si>
    <t>PESO</t>
  </si>
  <si>
    <t>VOLUMEN</t>
  </si>
  <si>
    <t>ESCANEO</t>
  </si>
  <si>
    <t>MIXTO</t>
  </si>
  <si>
    <t>Catálogo maestro del piloto</t>
  </si>
  <si>
    <t>Define producto, presentación y unidad sin mezclar conceptos. Los diez códigos iniciales son espacios del piloto, no datos productivos.</t>
  </si>
  <si>
    <t>Completa primero nombre, categoría, presentación y unidades. No reutilices un producto_id para otro producto.</t>
  </si>
  <si>
    <t>producto_id</t>
  </si>
  <si>
    <t>nombre_producto</t>
  </si>
  <si>
    <t>categoria</t>
  </si>
  <si>
    <t>presentacion_id</t>
  </si>
  <si>
    <t>presentacion</t>
  </si>
  <si>
    <t>unidad_base</t>
  </si>
  <si>
    <t>unidad_operativa</t>
  </si>
  <si>
    <t>factor_conversion</t>
  </si>
  <si>
    <t>controla_lote</t>
  </si>
  <si>
    <t>controla_vencimiento</t>
  </si>
  <si>
    <t>controla_frio</t>
  </si>
  <si>
    <t>temperatura_min_c</t>
  </si>
  <si>
    <t>temperatura_max_c</t>
  </si>
  <si>
    <t>es_retornable</t>
  </si>
  <si>
    <t>proveedor_referencia</t>
  </si>
  <si>
    <t>estado_registro</t>
  </si>
  <si>
    <t>fecha_alta</t>
  </si>
  <si>
    <t>responsable</t>
  </si>
  <si>
    <t>observaciones</t>
  </si>
  <si>
    <t>PILOTO-PROD-001</t>
  </si>
  <si>
    <t>PILOTO-PROD-002</t>
  </si>
  <si>
    <t>PILOTO-PROD-003</t>
  </si>
  <si>
    <t>PILOTO-PROD-004</t>
  </si>
  <si>
    <t>PILOTO-PROD-005</t>
  </si>
  <si>
    <t>PILOTO-PROD-006</t>
  </si>
  <si>
    <t>PILOTO-PROD-007</t>
  </si>
  <si>
    <t>PILOTO-PROD-008</t>
  </si>
  <si>
    <t>PILOTO-PROD-009</t>
  </si>
  <si>
    <t>PILOTO-PROD-010</t>
  </si>
  <si>
    <t>Sedes y ubicaciones físicas</t>
  </si>
  <si>
    <t>Ubica cada movimiento en una sede y LOC concreta. Las ubicaciones propuestas deben validarse físicamente antes de marcarse ACTIVAS.</t>
  </si>
  <si>
    <t>Recorre cada sede, completa área/zona/punto y valida si permite inventario o requiere control de frío.</t>
  </si>
  <si>
    <t>ubicacion_id</t>
  </si>
  <si>
    <t>sede</t>
  </si>
  <si>
    <t>area</t>
  </si>
  <si>
    <t>zona</t>
  </si>
  <si>
    <t>punto</t>
  </si>
  <si>
    <t>tipo_ubicacion</t>
  </si>
  <si>
    <t>permite_inventario</t>
  </si>
  <si>
    <t>requiere_frio</t>
  </si>
  <si>
    <t>LOC-CP-REC</t>
  </si>
  <si>
    <t>Recepción</t>
  </si>
  <si>
    <t>RECEPCIÓN</t>
  </si>
  <si>
    <t>LOC-CP-ALM</t>
  </si>
  <si>
    <t>Almacén</t>
  </si>
  <si>
    <t>ALMACÉN</t>
  </si>
  <si>
    <t>LOC-CP-PRO</t>
  </si>
  <si>
    <t>Producción</t>
  </si>
  <si>
    <t>PRODUCCIÓN</t>
  </si>
  <si>
    <t>LOC-CP-DES</t>
  </si>
  <si>
    <t>Despacho</t>
  </si>
  <si>
    <t>DESPACHO</t>
  </si>
  <si>
    <t>LOC-VC-ALM</t>
  </si>
  <si>
    <t>SATÉLITE</t>
  </si>
  <si>
    <t>LOC-SAU-ALM</t>
  </si>
  <si>
    <t>LOC-MOL-ALM</t>
  </si>
  <si>
    <t>Solicitudes internas de abastecimiento</t>
  </si>
  <si>
    <t>Una fila representa una línea de producto. Un mismo solicitud_id puede repetirse en varias líneas.</t>
  </si>
  <si>
    <t>Registra lo solicitado y lo aprobado por separado; nunca sustituyas la cantidad original para ocultar cambios.</t>
  </si>
  <si>
    <t>solicitud_id</t>
  </si>
  <si>
    <t>fecha_solicitud</t>
  </si>
  <si>
    <t>solicitante</t>
  </si>
  <si>
    <t>ubicacion_origen</t>
  </si>
  <si>
    <t>ubicacion_destino</t>
  </si>
  <si>
    <t>prioridad</t>
  </si>
  <si>
    <t>estado</t>
  </si>
  <si>
    <t>cantidad_solicitada</t>
  </si>
  <si>
    <t>cantidad_aprobada</t>
  </si>
  <si>
    <t>aprobacion_pct</t>
  </si>
  <si>
    <t>fecha_necesidad</t>
  </si>
  <si>
    <t>responsable_aprobacion</t>
  </si>
  <si>
    <t>Preparación, despacho y recepción de remisiones</t>
  </si>
  <si>
    <t>La remisión documenta la operación; no reemplaza el movimiento de inventario. Conserva solicitado, aprobado, preparado, cargado, despachado y recibido.</t>
  </si>
  <si>
    <t>Cambia el estado según el hecho real y adjunta evidencia. La cantidad recibida se calcula desde la hoja de recepciones.</t>
  </si>
  <si>
    <t>remision_id</t>
  </si>
  <si>
    <t>fecha_despacho</t>
  </si>
  <si>
    <t>lote</t>
  </si>
  <si>
    <t>fecha_vencimiento</t>
  </si>
  <si>
    <t>cantidad_preparada</t>
  </si>
  <si>
    <t>cantidad_cargada</t>
  </si>
  <si>
    <t>cantidad_despachada</t>
  </si>
  <si>
    <t>cantidad_recibida</t>
  </si>
  <si>
    <t>diferencia_recepcion</t>
  </si>
  <si>
    <t>cumplimiento_pct</t>
  </si>
  <si>
    <t>custodio_salida</t>
  </si>
  <si>
    <t>custodio_recepcion</t>
  </si>
  <si>
    <t>evidencia</t>
  </si>
  <si>
    <t>Recepción física y conformidad</t>
  </si>
  <si>
    <t>Registra el hecho observado: cantidad, condición, temperatura y evidencia. La recepción no debe sobrescribir lo despachado.</t>
  </si>
  <si>
    <t>Si existe no conformidad, conserva la cantidad y registra la decisión: cuarentena, rechazo, devolución o corrección.</t>
  </si>
  <si>
    <t>recepcion_id</t>
  </si>
  <si>
    <t>fecha_recepcion</t>
  </si>
  <si>
    <t>metodo_recepcion</t>
  </si>
  <si>
    <t>cantidad_conforme</t>
  </si>
  <si>
    <t>cantidad_no_conforme</t>
  </si>
  <si>
    <t>temperatura_c</t>
  </si>
  <si>
    <t>condicion</t>
  </si>
  <si>
    <t>decision</t>
  </si>
  <si>
    <t>Sesiones de conteo físico</t>
  </si>
  <si>
    <t>El conteo es una observación con corte, método y responsable. Una diferencia no modifica inventario por sí sola.</t>
  </si>
  <si>
    <t>Investiga toda diferencia y vincula un documento de ajuste independiente solo cuando corresponda.</t>
  </si>
  <si>
    <t>sesion_conteo_id</t>
  </si>
  <si>
    <t>fecha_corte</t>
  </si>
  <si>
    <t>metodo</t>
  </si>
  <si>
    <t>cantidad_sistema_referencia</t>
  </si>
  <si>
    <t>cantidad_contada</t>
  </si>
  <si>
    <t>diferencia</t>
  </si>
  <si>
    <t>investigacion</t>
  </si>
  <si>
    <t>documento_ajuste_id</t>
  </si>
  <si>
    <t>Movimientos físicos y custodia</t>
  </si>
  <si>
    <t>Registra ingresos, reubicaciones, consumos, traslados, salidas y devoluciones con origen, destino, lote y custodia.</t>
  </si>
  <si>
    <t>Todo ajuste debe estar documentado. No utilices un movimiento para corregir silenciosamente un conteo.</t>
  </si>
  <si>
    <t>movimiento_id</t>
  </si>
  <si>
    <t>fecha_movimiento</t>
  </si>
  <si>
    <t>tipo_movimiento</t>
  </si>
  <si>
    <t>cantidad</t>
  </si>
  <si>
    <t>custodio_entrada</t>
  </si>
  <si>
    <t>documento_relacionado_id</t>
  </si>
  <si>
    <t>Producción, rendimiento y trazabilidad</t>
  </si>
  <si>
    <t>Conserva receta/version, insumos reales, lote de salida, resultado, reproceso y merma. Terminado no significa liberado.</t>
  </si>
  <si>
    <t>Registra una fila por combinación de orden e insumo/salida. Calidad decide la liberación en un estado separado.</t>
  </si>
  <si>
    <t>orden_produccion_id</t>
  </si>
  <si>
    <t>fecha_produccion</t>
  </si>
  <si>
    <t>receta_id</t>
  </si>
  <si>
    <t>version_receta</t>
  </si>
  <si>
    <t>lote_salida</t>
  </si>
  <si>
    <t>estado_produccion</t>
  </si>
  <si>
    <t>estado_calidad</t>
  </si>
  <si>
    <t>producto_insumo_id</t>
  </si>
  <si>
    <t>lote_insumo</t>
  </si>
  <si>
    <t>unidad_insumo</t>
  </si>
  <si>
    <t>cantidad_insumo</t>
  </si>
  <si>
    <t>producto_salida_id</t>
  </si>
  <si>
    <t>unidad_salida</t>
  </si>
  <si>
    <t>salida_total</t>
  </si>
  <si>
    <t>salida_buena</t>
  </si>
  <si>
    <t>reproceso</t>
  </si>
  <si>
    <t>merma</t>
  </si>
  <si>
    <t>rendimiento_pct</t>
  </si>
  <si>
    <t>Calidad, frío, vencimientos y mermas</t>
  </si>
  <si>
    <t>Registra condición, temperatura, cantidad afectada y disposición sin borrar el hecho original.</t>
  </si>
  <si>
    <t>La cuarentena, liberación, rechazo, reproceso o desecho deben quedar explícitos y con evidencia.</t>
  </si>
  <si>
    <t>evento_id</t>
  </si>
  <si>
    <t>fecha_evento</t>
  </si>
  <si>
    <t>tipo_evento</t>
  </si>
  <si>
    <t>cantidad_afectada</t>
  </si>
  <si>
    <t>disposicion</t>
  </si>
  <si>
    <t>Retornables, LPN y custodia</t>
  </si>
  <si>
    <t>Controla canastillas, cajas, contenedores y otras unidades retornables como activos en custodia.</t>
  </si>
  <si>
    <t>Registra salida y recepción por separado; investiga cualquier diferencia antes de cerrar.</t>
  </si>
  <si>
    <t>movimiento_retornable_id</t>
  </si>
  <si>
    <t>tipo_retornable</t>
  </si>
  <si>
    <t>unidad_identificada_lpn</t>
  </si>
  <si>
    <t>cantidad_salida</t>
  </si>
  <si>
    <t>Inventario de estaciones operativas</t>
  </si>
  <si>
    <t>Describe el puesto real: lugar, proceso, actor, movilidad, ambiente, dispositivo, sesión, periféricos, infraestructura y contingencia.</t>
  </si>
  <si>
    <t>Haz el recorrido físico y registra evidencia. No marques ACTIVO sin validar conectividad, energía y forma de contingencia.</t>
  </si>
  <si>
    <t>estacion_id</t>
  </si>
  <si>
    <t>perfil_estacion</t>
  </si>
  <si>
    <t>proceso_principal</t>
  </si>
  <si>
    <t>actor_principal</t>
  </si>
  <si>
    <t>picos_operativos</t>
  </si>
  <si>
    <t>movilidad</t>
  </si>
  <si>
    <t>interaccion_ambiental</t>
  </si>
  <si>
    <t>dispositivo</t>
  </si>
  <si>
    <t>tipo_sesion</t>
  </si>
  <si>
    <t>perifericos</t>
  </si>
  <si>
    <t>infraestructura</t>
  </si>
  <si>
    <t>contingencia</t>
  </si>
  <si>
    <t>Panel operativo del piloto</t>
  </si>
  <si>
    <t>Indicadores automáticos para priorizar pendientes. Un cero significa que no hay registros o alertas en la plantilla.</t>
  </si>
  <si>
    <t>Pulsa ACTUALIZAR para recalcular. Revisa primero diferencias, tránsito, calidad y estaciones pendientes.</t>
  </si>
  <si>
    <t>ESTADO OPERATIVO</t>
  </si>
  <si>
    <t>Productos activos</t>
  </si>
  <si>
    <t>Solicitudes abiertas</t>
  </si>
  <si>
    <t>Remisiones en tránsito</t>
  </si>
  <si>
    <t>Diferencias recepción</t>
  </si>
  <si>
    <t>Diferencias de conteo</t>
  </si>
  <si>
    <t>Alertas calidad</t>
  </si>
  <si>
    <t>Estaciones por validar</t>
  </si>
  <si>
    <t>Rendimiento promedio</t>
  </si>
  <si>
    <t>Indicador</t>
  </si>
  <si>
    <t>Valor</t>
  </si>
  <si>
    <t>Diferencias conteo</t>
  </si>
  <si>
    <t>VENTO · OPERACIÓN PILOTO</t>
  </si>
  <si>
    <t>Libro local para preparar Centro de Producción y satélites con la misma lógica futura de NEXO. No actualiza Supabase ni certifica implementación.</t>
  </si>
  <si>
    <t>FLUJO DIARIO RECOMENDADO</t>
  </si>
  <si>
    <t>1. Completa catálogos y valida ubicaciones.</t>
  </si>
  <si>
    <t>2. Registra la solicitud sin reemplazar cantidades.</t>
  </si>
  <si>
    <t>3. Prepara y despacha la remisión por etapas.</t>
  </si>
  <si>
    <t>4. Recibe físicamente y documenta diferencias.</t>
  </si>
  <si>
    <t>5. Registra movimientos, conteos y producción.</t>
  </si>
  <si>
    <t>6. Revisa el panel y cierra solo con evidencia.</t>
  </si>
  <si>
    <t>REGLAS QUE EVITAN PÉRDIDA DE INFORMACIÓN</t>
  </si>
  <si>
    <t>• Un código estable nunca se reutiliza.</t>
  </si>
  <si>
    <t>• Una fila representa un hecho o línea.</t>
  </si>
  <si>
    <t>• No borres: corrige con documento relacionado.</t>
  </si>
  <si>
    <t>• Conteo y ajuste son hechos distintos.</t>
  </si>
  <si>
    <t>• Terminado y liberado son estados distintos.</t>
  </si>
  <si>
    <t>• No guardes claves, PIN, pagos ni datos sensibles.</t>
  </si>
  <si>
    <t>ABRIR MÓDULO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</si>
</sst>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#,000"/>
    <numFmt numFmtId="166" formatCode="#,#00%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20"/>
      <color rgb="FFFFFFFF"/>
      <name val="Aptos"/>
      <family val="2"/>
    </font>
    <font>
      <sz val="11"/>
      <color rgb="FF25313C"/>
      <name val="Aptos"/>
      <family val="2"/>
    </font>
    <font>
      <i/>
      <sz val="10"/>
      <color rgb="FF25313C"/>
      <name val="Aptos"/>
      <family val="2"/>
    </font>
    <font>
      <sz val="10"/>
      <color rgb="FF152F4A"/>
      <name val="Aptos"/>
      <family val="2"/>
    </font>
    <font>
      <sz val="10"/>
      <color rgb="FF5B6A78"/>
      <name val="Aptos"/>
      <family val="2"/>
    </font>
    <font>
      <b/>
      <sz val="23"/>
      <color rgb="FF1F6AA6"/>
      <name val="Aptos"/>
      <family val="2"/>
    </font>
    <font>
      <b/>
      <sz val="23"/>
      <color rgb="FF148480"/>
      <name val="Aptos"/>
      <family val="2"/>
    </font>
    <font>
      <b/>
      <sz val="23"/>
      <color rgb="FFE67E22"/>
      <name val="Aptos"/>
      <family val="2"/>
    </font>
    <font>
      <b/>
      <sz val="23"/>
      <color rgb="FFC0392B"/>
      <name val="Aptos"/>
      <family val="2"/>
    </font>
    <font>
      <b/>
      <sz val="23"/>
      <color rgb="FF27845E"/>
      <name val="Aptos"/>
      <family val="2"/>
    </font>
    <font>
      <b/>
      <sz val="11"/>
      <color rgb="FFFFFFFF"/>
      <name val="Aptos"/>
      <family val="2"/>
    </font>
    <font>
      <b/>
      <sz val="27"/>
      <color rgb="FFFFFFFF"/>
      <name val="Aptos"/>
      <family val="2"/>
    </font>
    <font>
      <sz val="12"/>
      <color rgb="FF25313C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152F4A"/>
        <bgColor indexed="64"/>
      </patternFill>
    </fill>
    <fill>
      <patternFill patternType="solid">
        <fgColor rgb="FFE2EFFA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1F6AA6"/>
        <bgColor indexed="64"/>
      </patternFill>
    </fill>
    <fill>
      <patternFill patternType="solid">
        <fgColor rgb="FFFFFCEB"/>
        <bgColor indexed="64"/>
      </patternFill>
    </fill>
    <fill>
      <patternFill patternType="solid">
        <fgColor rgb="FFEBF6FF"/>
        <bgColor indexed="64"/>
      </patternFill>
    </fill>
    <fill>
      <patternFill patternType="solid">
        <fgColor rgb="FF14848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7E22"/>
        <bgColor indexed="64"/>
      </patternFill>
    </fill>
  </fills>
  <borders count="11">
    <border>
      <left/>
      <right/>
      <top/>
      <bottom/>
      <diagonal/>
    </border>
    <border>
      <left style="thin">
        <color rgb="FFD9E1E8"/>
      </left>
      <right/>
      <top style="thin">
        <color rgb="FFD9E1E8"/>
      </top>
      <bottom/>
      <diagonal/>
    </border>
    <border>
      <left style="thin">
        <color rgb="FFD9E1E8"/>
      </left>
      <right/>
      <top style="thin">
        <color rgb="FFD9E1E8"/>
      </top>
      <bottom style="thin">
        <color rgb="FFD9E1E8"/>
      </bottom>
      <diagonal/>
    </border>
    <border>
      <left style="thin">
        <color rgb="FFD9E1E8"/>
      </left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/>
      <top/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/>
      <diagonal/>
    </border>
    <border>
      <left style="thin">
        <color rgb="FFD9E1E8"/>
      </left>
      <right style="thin">
        <color rgb="FFD9E1E8"/>
      </right>
      <top style="thin">
        <color rgb="FFD9E1E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3" fillId="5" borderId="5" xfId="0" applyFont="1" applyFill="1" applyBorder="1" applyAlignment="1">
      <alignment horizontal="center" vertical="center" wrapText="1"/>
    </xf>
    <xf numFmtId="165" fontId="3" fillId="5" borderId="5" xfId="0" applyNumberFormat="1" applyFont="1" applyFill="1" applyBorder="1" applyAlignment="1">
      <alignment horizontal="center" vertical="center" wrapText="1"/>
    </xf>
    <xf numFmtId="164" fontId="3" fillId="5" borderId="5" xfId="0" applyNumberFormat="1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165" fontId="2" fillId="6" borderId="3" xfId="0" applyNumberFormat="1" applyFont="1" applyFill="1" applyBorder="1" applyAlignment="1">
      <alignment vertical="center" wrapText="1"/>
    </xf>
    <xf numFmtId="164" fontId="2" fillId="6" borderId="3" xfId="0" applyNumberFormat="1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0" fontId="2" fillId="6" borderId="9" xfId="0" applyFont="1" applyFill="1" applyBorder="1" applyAlignment="1">
      <alignment vertical="center" wrapText="1"/>
    </xf>
    <xf numFmtId="165" fontId="2" fillId="6" borderId="9" xfId="0" applyNumberFormat="1" applyFont="1" applyFill="1" applyBorder="1" applyAlignment="1">
      <alignment vertical="center" wrapText="1"/>
    </xf>
    <xf numFmtId="164" fontId="2" fillId="6" borderId="9" xfId="0" applyNumberFormat="1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0" fontId="2" fillId="0" borderId="0" xfId="0" applyFont="1" applyAlignment="1">
      <alignment horizontal="left" vertical="center"/>
    </xf>
    <xf numFmtId="0" fontId="3" fillId="5" borderId="4" xfId="0" applyFont="1" applyFill="1" applyBorder="1" applyAlignment="1">
      <alignment horizontal="left" vertical="center" wrapText="1"/>
    </xf>
    <xf numFmtId="0" fontId="2" fillId="6" borderId="7" xfId="0" applyFont="1" applyFill="1" applyBorder="1" applyAlignment="1">
      <alignment horizontal="left" vertical="center" wrapText="1"/>
    </xf>
    <xf numFmtId="0" fontId="2" fillId="6" borderId="8" xfId="0" applyFont="1" applyFill="1" applyBorder="1" applyAlignment="1">
      <alignment horizontal="left" vertical="center" wrapText="1"/>
    </xf>
    <xf numFmtId="166" fontId="3" fillId="5" borderId="5" xfId="0" applyNumberFormat="1" applyFont="1" applyFill="1" applyBorder="1" applyAlignment="1">
      <alignment horizontal="center" vertical="center" wrapText="1"/>
    </xf>
    <xf numFmtId="166" fontId="7" fillId="7" borderId="9" xfId="0" applyNumberFormat="1" applyFont="1" applyFill="1" applyBorder="1" applyAlignment="1">
      <alignment vertical="center" wrapText="1"/>
    </xf>
    <xf numFmtId="165" fontId="7" fillId="7" borderId="9" xfId="0" applyNumberFormat="1" applyFont="1" applyFill="1" applyBorder="1" applyAlignment="1">
      <alignment vertical="center" wrapText="1"/>
    </xf>
    <xf numFmtId="0" fontId="3" fillId="8" borderId="0" xfId="0" applyFont="1" applyFill="1" applyAlignment="1">
      <alignment horizontal="center" vertical="center"/>
    </xf>
    <xf numFmtId="0" fontId="8" fillId="9" borderId="2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 wrapText="1"/>
    </xf>
    <xf numFmtId="1" fontId="9" fillId="9" borderId="1" xfId="0" applyNumberFormat="1" applyFont="1" applyFill="1" applyBorder="1" applyAlignment="1">
      <alignment horizontal="center" vertical="center"/>
    </xf>
    <xf numFmtId="1" fontId="9" fillId="9" borderId="8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4" xfId="0" applyNumberFormat="1" applyFont="1" applyFill="1" applyBorder="1" applyAlignment="1">
      <alignment horizontal="center" vertical="center"/>
    </xf>
    <xf numFmtId="1" fontId="10" fillId="9" borderId="1" xfId="0" applyNumberFormat="1" applyFont="1" applyFill="1" applyBorder="1" applyAlignment="1">
      <alignment horizontal="center" vertical="center"/>
    </xf>
    <xf numFmtId="1" fontId="10" fillId="9" borderId="8" xfId="0" applyNumberFormat="1" applyFont="1" applyFill="1" applyBorder="1" applyAlignment="1">
      <alignment horizontal="center" vertical="center"/>
    </xf>
    <xf numFmtId="1" fontId="10" fillId="9" borderId="6" xfId="0" applyNumberFormat="1" applyFont="1" applyFill="1" applyBorder="1" applyAlignment="1">
      <alignment horizontal="center" vertical="center"/>
    </xf>
    <xf numFmtId="1" fontId="10" fillId="9" borderId="4" xfId="0" applyNumberFormat="1" applyFont="1" applyFill="1" applyBorder="1" applyAlignment="1">
      <alignment horizontal="center" vertical="center"/>
    </xf>
    <xf numFmtId="1" fontId="11" fillId="9" borderId="1" xfId="0" applyNumberFormat="1" applyFont="1" applyFill="1" applyBorder="1" applyAlignment="1">
      <alignment horizontal="center" vertical="center"/>
    </xf>
    <xf numFmtId="1" fontId="11" fillId="9" borderId="8" xfId="0" applyNumberFormat="1" applyFont="1" applyFill="1" applyBorder="1" applyAlignment="1">
      <alignment horizontal="center" vertical="center"/>
    </xf>
    <xf numFmtId="1" fontId="11" fillId="9" borderId="6" xfId="0" applyNumberFormat="1" applyFont="1" applyFill="1" applyBorder="1" applyAlignment="1">
      <alignment horizontal="center" vertical="center"/>
    </xf>
    <xf numFmtId="1" fontId="11" fillId="9" borderId="4" xfId="0" applyNumberFormat="1" applyFont="1" applyFill="1" applyBorder="1" applyAlignment="1">
      <alignment horizontal="center" vertical="center"/>
    </xf>
    <xf numFmtId="1" fontId="12" fillId="9" borderId="1" xfId="0" applyNumberFormat="1" applyFont="1" applyFill="1" applyBorder="1" applyAlignment="1">
      <alignment horizontal="center" vertical="center"/>
    </xf>
    <xf numFmtId="1" fontId="12" fillId="9" borderId="8" xfId="0" applyNumberFormat="1" applyFont="1" applyFill="1" applyBorder="1" applyAlignment="1">
      <alignment horizontal="center" vertical="center"/>
    </xf>
    <xf numFmtId="1" fontId="12" fillId="9" borderId="6" xfId="0" applyNumberFormat="1" applyFont="1" applyFill="1" applyBorder="1" applyAlignment="1">
      <alignment horizontal="center" vertical="center"/>
    </xf>
    <xf numFmtId="1" fontId="12" fillId="9" borderId="4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 vertical="center"/>
    </xf>
    <xf numFmtId="166" fontId="13" fillId="9" borderId="8" xfId="0" applyNumberFormat="1" applyFont="1" applyFill="1" applyBorder="1" applyAlignment="1">
      <alignment horizontal="center" vertical="center"/>
    </xf>
    <xf numFmtId="166" fontId="13" fillId="9" borderId="6" xfId="0" applyNumberFormat="1" applyFont="1" applyFill="1" applyBorder="1" applyAlignment="1">
      <alignment horizontal="center" vertical="center"/>
    </xf>
    <xf numFmtId="166" fontId="13" fillId="9" borderId="4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wrapText="1"/>
    </xf>
    <xf numFmtId="0" fontId="14" fillId="8" borderId="3" xfId="0" applyFont="1" applyFill="1" applyBorder="1" applyAlignment="1">
      <alignment horizontal="center"/>
    </xf>
    <xf numFmtId="0" fontId="5" fillId="9" borderId="3" xfId="0" applyFont="1" applyFill="1" applyBorder="1"/>
    <xf numFmtId="0" fontId="5" fillId="10" borderId="3" xfId="0" applyFont="1" applyFill="1" applyBorder="1"/>
    <xf numFmtId="0" fontId="14" fillId="11" borderId="3" xfId="0" applyFont="1" applyFill="1" applyBorder="1" applyAlignment="1">
      <alignment horizontal="center"/>
    </xf>
    <xf numFmtId="0" fontId="5" fillId="4" borderId="3" xfId="0" applyFont="1" applyFill="1" applyBorder="1"/>
    <xf numFmtId="0" fontId="14" fillId="2" borderId="0" xfId="0" applyFont="1" applyFill="1" applyAlignment="1">
      <alignment horizontal="center"/>
    </xf>
  </cellXfs>
  <cellStyles count="1"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Pendientes y alertas actuales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'12_PANEL'!$B$18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'12_PANEL'!$A$19:$A$23</c:f>
              <c:strCache>
                <c:ptCount val="5"/>
                <c:pt idx="0">
                  <c:v>Solicitudes abiertas</c:v>
                </c:pt>
                <c:pt idx="1">
                  <c:v>Remisiones en tránsito</c:v>
                </c:pt>
                <c:pt idx="2">
                  <c:v>Diferencias recepción</c:v>
                </c:pt>
                <c:pt idx="3">
                  <c:v>Diferencias conteo</c:v>
                </c:pt>
                <c:pt idx="4">
                  <c:v>Alertas calidad</c:v>
                </c:pt>
              </c:strCache>
            </c:strRef>
          </c:cat>
          <c:val>
            <c:numRef>
              <c:f>'12_PANEL'!$B$19:$B$23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6-43B2-8492-D533AB6F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73536"/>
        <c:axId val="108860528"/>
      </c:barChart>
      <c:catAx>
        <c:axId val="2715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860528"/>
        <c:crosses val="autoZero"/>
        <c:auto val="1"/>
        <c:lblAlgn val="ctr"/>
        <c:lblOffset val="100"/>
        <c:noMultiLvlLbl val="0"/>
      </c:catAx>
      <c:valAx>
        <c:axId val="1088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15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16</xdr:row>
      <xdr:rowOff>152400</xdr:rowOff>
    </xdr:from>
    <xdr:to>
      <xdr:col>3</xdr:col>
      <xdr:colOff>609600</xdr:colOff>
      <xdr:row>18</xdr:row>
      <xdr:rowOff>88900</xdr:rowOff>
    </xdr:to>
    <xdr:sp macro="IrAHoja" textlink="">
      <xdr:nvSpPr>
        <xdr:cNvPr id="2" name="btn_CAT_LOGOS_14" descr="01_CATALOGOS">
          <a:extLst>
            <a:ext uri="{FF2B5EF4-FFF2-40B4-BE49-F238E27FC236}">
              <a16:creationId xmlns:a16="http://schemas.microsoft.com/office/drawing/2014/main" id="{8F691ACC-7B51-4535-6514-D9E8B13D5BD6}"/>
            </a:ext>
          </a:extLst>
        </xdr:cNvPr>
        <xdr:cNvSpPr/>
      </xdr:nvSpPr>
      <xdr:spPr>
        <a:xfrm>
          <a:off x="2286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CATÁLOGOS</a:t>
          </a:r>
        </a:p>
      </xdr:txBody>
    </xdr:sp>
    <xdr:clientData/>
  </xdr:twoCellAnchor>
  <xdr:twoCellAnchor>
    <xdr:from>
      <xdr:col>4</xdr:col>
      <xdr:colOff>292100</xdr:colOff>
      <xdr:row>16</xdr:row>
      <xdr:rowOff>152400</xdr:rowOff>
    </xdr:from>
    <xdr:to>
      <xdr:col>7</xdr:col>
      <xdr:colOff>673100</xdr:colOff>
      <xdr:row>18</xdr:row>
      <xdr:rowOff>88900</xdr:rowOff>
    </xdr:to>
    <xdr:sp macro="IrAHoja" textlink="">
      <xdr:nvSpPr>
        <xdr:cNvPr id="3" name="btn_UBICACIONES_14" descr="02_UBICACIONES">
          <a:extLst>
            <a:ext uri="{FF2B5EF4-FFF2-40B4-BE49-F238E27FC236}">
              <a16:creationId xmlns:a16="http://schemas.microsoft.com/office/drawing/2014/main" id="{72104146-07F1-084C-394F-63A3485CAA39}"/>
            </a:ext>
          </a:extLst>
        </xdr:cNvPr>
        <xdr:cNvSpPr/>
      </xdr:nvSpPr>
      <xdr:spPr>
        <a:xfrm>
          <a:off x="33401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UBICACIONES</a:t>
          </a:r>
        </a:p>
      </xdr:txBody>
    </xdr:sp>
    <xdr:clientData/>
  </xdr:twoCellAnchor>
  <xdr:twoCellAnchor>
    <xdr:from>
      <xdr:col>8</xdr:col>
      <xdr:colOff>355600</xdr:colOff>
      <xdr:row>16</xdr:row>
      <xdr:rowOff>152400</xdr:rowOff>
    </xdr:from>
    <xdr:to>
      <xdr:col>11</xdr:col>
      <xdr:colOff>736600</xdr:colOff>
      <xdr:row>18</xdr:row>
      <xdr:rowOff>88900</xdr:rowOff>
    </xdr:to>
    <xdr:sp macro="IrAHoja" textlink="">
      <xdr:nvSpPr>
        <xdr:cNvPr id="4" name="btn_SOLICITUDES_14" descr="03_SOLICITUDES">
          <a:extLst>
            <a:ext uri="{FF2B5EF4-FFF2-40B4-BE49-F238E27FC236}">
              <a16:creationId xmlns:a16="http://schemas.microsoft.com/office/drawing/2014/main" id="{DCC7AC2E-9D93-F568-B936-44AC54369C60}"/>
            </a:ext>
          </a:extLst>
        </xdr:cNvPr>
        <xdr:cNvSpPr/>
      </xdr:nvSpPr>
      <xdr:spPr>
        <a:xfrm>
          <a:off x="6451600" y="45720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SOLICITUDES</a:t>
          </a:r>
        </a:p>
      </xdr:txBody>
    </xdr:sp>
    <xdr:clientData/>
  </xdr:twoCellAnchor>
  <xdr:twoCellAnchor>
    <xdr:from>
      <xdr:col>0</xdr:col>
      <xdr:colOff>228600</xdr:colOff>
      <xdr:row>20</xdr:row>
      <xdr:rowOff>0</xdr:rowOff>
    </xdr:from>
    <xdr:to>
      <xdr:col>3</xdr:col>
      <xdr:colOff>609600</xdr:colOff>
      <xdr:row>21</xdr:row>
      <xdr:rowOff>127000</xdr:rowOff>
    </xdr:to>
    <xdr:sp macro="IrAHoja" textlink="">
      <xdr:nvSpPr>
        <xdr:cNvPr id="5" name="btn_REMISIONES_14" descr="04_REMISIONES">
          <a:extLst>
            <a:ext uri="{FF2B5EF4-FFF2-40B4-BE49-F238E27FC236}">
              <a16:creationId xmlns:a16="http://schemas.microsoft.com/office/drawing/2014/main" id="{5C55208B-1FBE-3C61-364B-9CDE92773984}"/>
            </a:ext>
          </a:extLst>
        </xdr:cNvPr>
        <xdr:cNvSpPr/>
      </xdr:nvSpPr>
      <xdr:spPr>
        <a:xfrm>
          <a:off x="2286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REMISIONES</a:t>
          </a:r>
        </a:p>
      </xdr:txBody>
    </xdr:sp>
    <xdr:clientData/>
  </xdr:twoCellAnchor>
  <xdr:twoCellAnchor>
    <xdr:from>
      <xdr:col>4</xdr:col>
      <xdr:colOff>292100</xdr:colOff>
      <xdr:row>20</xdr:row>
      <xdr:rowOff>0</xdr:rowOff>
    </xdr:from>
    <xdr:to>
      <xdr:col>7</xdr:col>
      <xdr:colOff>673100</xdr:colOff>
      <xdr:row>21</xdr:row>
      <xdr:rowOff>127000</xdr:rowOff>
    </xdr:to>
    <xdr:sp macro="IrAHoja" textlink="">
      <xdr:nvSpPr>
        <xdr:cNvPr id="6" name="btn_RECEPCIONES_14" descr="05_RECEPCIONES">
          <a:extLst>
            <a:ext uri="{FF2B5EF4-FFF2-40B4-BE49-F238E27FC236}">
              <a16:creationId xmlns:a16="http://schemas.microsoft.com/office/drawing/2014/main" id="{575442F3-2120-BC94-B884-BB19E668FCAE}"/>
            </a:ext>
          </a:extLst>
        </xdr:cNvPr>
        <xdr:cNvSpPr/>
      </xdr:nvSpPr>
      <xdr:spPr>
        <a:xfrm>
          <a:off x="33401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RECEPCIONES</a:t>
          </a:r>
        </a:p>
      </xdr:txBody>
    </xdr:sp>
    <xdr:clientData/>
  </xdr:twoCellAnchor>
  <xdr:twoCellAnchor>
    <xdr:from>
      <xdr:col>8</xdr:col>
      <xdr:colOff>355600</xdr:colOff>
      <xdr:row>20</xdr:row>
      <xdr:rowOff>0</xdr:rowOff>
    </xdr:from>
    <xdr:to>
      <xdr:col>11</xdr:col>
      <xdr:colOff>736600</xdr:colOff>
      <xdr:row>21</xdr:row>
      <xdr:rowOff>127000</xdr:rowOff>
    </xdr:to>
    <xdr:sp macro="IrAHoja" textlink="">
      <xdr:nvSpPr>
        <xdr:cNvPr id="7" name="btn_CONTEOS_14" descr="06_CONTEOS">
          <a:extLst>
            <a:ext uri="{FF2B5EF4-FFF2-40B4-BE49-F238E27FC236}">
              <a16:creationId xmlns:a16="http://schemas.microsoft.com/office/drawing/2014/main" id="{0C10061B-459C-564F-5CF6-32816BB48BE4}"/>
            </a:ext>
          </a:extLst>
        </xdr:cNvPr>
        <xdr:cNvSpPr/>
      </xdr:nvSpPr>
      <xdr:spPr>
        <a:xfrm>
          <a:off x="6451600" y="51816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CONTEOS</a:t>
          </a:r>
        </a:p>
      </xdr:txBody>
    </xdr:sp>
    <xdr:clientData/>
  </xdr:twoCellAnchor>
  <xdr:twoCellAnchor>
    <xdr:from>
      <xdr:col>0</xdr:col>
      <xdr:colOff>228600</xdr:colOff>
      <xdr:row>23</xdr:row>
      <xdr:rowOff>38100</xdr:rowOff>
    </xdr:from>
    <xdr:to>
      <xdr:col>3</xdr:col>
      <xdr:colOff>609600</xdr:colOff>
      <xdr:row>24</xdr:row>
      <xdr:rowOff>165100</xdr:rowOff>
    </xdr:to>
    <xdr:sp macro="IrAHoja" textlink="">
      <xdr:nvSpPr>
        <xdr:cNvPr id="8" name="btn_MOVIMIENTOS_14" descr="07_MOVIMIENTOS">
          <a:extLst>
            <a:ext uri="{FF2B5EF4-FFF2-40B4-BE49-F238E27FC236}">
              <a16:creationId xmlns:a16="http://schemas.microsoft.com/office/drawing/2014/main" id="{E6D30B96-C257-1478-51AD-EE03D8E9AD87}"/>
            </a:ext>
          </a:extLst>
        </xdr:cNvPr>
        <xdr:cNvSpPr/>
      </xdr:nvSpPr>
      <xdr:spPr>
        <a:xfrm>
          <a:off x="2286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MOVIMIENTOS</a:t>
          </a:r>
        </a:p>
      </xdr:txBody>
    </xdr:sp>
    <xdr:clientData/>
  </xdr:twoCellAnchor>
  <xdr:twoCellAnchor>
    <xdr:from>
      <xdr:col>4</xdr:col>
      <xdr:colOff>292100</xdr:colOff>
      <xdr:row>23</xdr:row>
      <xdr:rowOff>38100</xdr:rowOff>
    </xdr:from>
    <xdr:to>
      <xdr:col>7</xdr:col>
      <xdr:colOff>673100</xdr:colOff>
      <xdr:row>24</xdr:row>
      <xdr:rowOff>165100</xdr:rowOff>
    </xdr:to>
    <xdr:sp macro="IrAHoja" textlink="">
      <xdr:nvSpPr>
        <xdr:cNvPr id="9" name="btn_PRODUCCI_N_14" descr="08_PRODUCCION">
          <a:extLst>
            <a:ext uri="{FF2B5EF4-FFF2-40B4-BE49-F238E27FC236}">
              <a16:creationId xmlns:a16="http://schemas.microsoft.com/office/drawing/2014/main" id="{5E07A9BC-6499-7018-46B2-77CC83EF2BCA}"/>
            </a:ext>
          </a:extLst>
        </xdr:cNvPr>
        <xdr:cNvSpPr/>
      </xdr:nvSpPr>
      <xdr:spPr>
        <a:xfrm>
          <a:off x="33401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PRODUCCIÓN</a:t>
          </a:r>
        </a:p>
      </xdr:txBody>
    </xdr:sp>
    <xdr:clientData/>
  </xdr:twoCellAnchor>
  <xdr:twoCellAnchor>
    <xdr:from>
      <xdr:col>8</xdr:col>
      <xdr:colOff>355600</xdr:colOff>
      <xdr:row>23</xdr:row>
      <xdr:rowOff>38100</xdr:rowOff>
    </xdr:from>
    <xdr:to>
      <xdr:col>11</xdr:col>
      <xdr:colOff>736600</xdr:colOff>
      <xdr:row>24</xdr:row>
      <xdr:rowOff>165100</xdr:rowOff>
    </xdr:to>
    <xdr:sp macro="IrAHoja" textlink="">
      <xdr:nvSpPr>
        <xdr:cNvPr id="10" name="btn_CALIDAD_Y_MERMAS_14" descr="09_CALIDAD_MERMAS">
          <a:extLst>
            <a:ext uri="{FF2B5EF4-FFF2-40B4-BE49-F238E27FC236}">
              <a16:creationId xmlns:a16="http://schemas.microsoft.com/office/drawing/2014/main" id="{50151323-3F67-1FE8-F4A5-6CB70C33CC5F}"/>
            </a:ext>
          </a:extLst>
        </xdr:cNvPr>
        <xdr:cNvSpPr/>
      </xdr:nvSpPr>
      <xdr:spPr>
        <a:xfrm>
          <a:off x="6451600" y="57912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CALIDAD Y MERMAS</a:t>
          </a:r>
        </a:p>
      </xdr:txBody>
    </xdr:sp>
    <xdr:clientData/>
  </xdr:twoCellAnchor>
  <xdr:twoCellAnchor>
    <xdr:from>
      <xdr:col>0</xdr:col>
      <xdr:colOff>228600</xdr:colOff>
      <xdr:row>26</xdr:row>
      <xdr:rowOff>76200</xdr:rowOff>
    </xdr:from>
    <xdr:to>
      <xdr:col>3</xdr:col>
      <xdr:colOff>609600</xdr:colOff>
      <xdr:row>28</xdr:row>
      <xdr:rowOff>12700</xdr:rowOff>
    </xdr:to>
    <xdr:sp macro="IrAHoja" textlink="">
      <xdr:nvSpPr>
        <xdr:cNvPr id="11" name="btn_RETORNABLES_14" descr="10_RETORNABLES">
          <a:extLst>
            <a:ext uri="{FF2B5EF4-FFF2-40B4-BE49-F238E27FC236}">
              <a16:creationId xmlns:a16="http://schemas.microsoft.com/office/drawing/2014/main" id="{F8DBCEAC-7450-4944-5B39-A95BDCE23AAC}"/>
            </a:ext>
          </a:extLst>
        </xdr:cNvPr>
        <xdr:cNvSpPr/>
      </xdr:nvSpPr>
      <xdr:spPr>
        <a:xfrm>
          <a:off x="228600" y="64008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RETORNABLES</a:t>
          </a:r>
        </a:p>
      </xdr:txBody>
    </xdr:sp>
    <xdr:clientData/>
  </xdr:twoCellAnchor>
  <xdr:twoCellAnchor>
    <xdr:from>
      <xdr:col>4</xdr:col>
      <xdr:colOff>292100</xdr:colOff>
      <xdr:row>26</xdr:row>
      <xdr:rowOff>76200</xdr:rowOff>
    </xdr:from>
    <xdr:to>
      <xdr:col>7</xdr:col>
      <xdr:colOff>673100</xdr:colOff>
      <xdr:row>28</xdr:row>
      <xdr:rowOff>12700</xdr:rowOff>
    </xdr:to>
    <xdr:sp macro="IrAHoja" textlink="">
      <xdr:nvSpPr>
        <xdr:cNvPr id="12" name="btn_ESTACIONES_14" descr="11_ESTACIONES">
          <a:extLst>
            <a:ext uri="{FF2B5EF4-FFF2-40B4-BE49-F238E27FC236}">
              <a16:creationId xmlns:a16="http://schemas.microsoft.com/office/drawing/2014/main" id="{54D8FE85-0C56-E50D-CF44-39E9DF7EC122}"/>
            </a:ext>
          </a:extLst>
        </xdr:cNvPr>
        <xdr:cNvSpPr/>
      </xdr:nvSpPr>
      <xdr:spPr>
        <a:xfrm>
          <a:off x="3340100" y="64008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ESTACIONES</a:t>
          </a:r>
        </a:p>
      </xdr:txBody>
    </xdr:sp>
    <xdr:clientData/>
  </xdr:twoCellAnchor>
  <xdr:twoCellAnchor>
    <xdr:from>
      <xdr:col>8</xdr:col>
      <xdr:colOff>355600</xdr:colOff>
      <xdr:row>26</xdr:row>
      <xdr:rowOff>76200</xdr:rowOff>
    </xdr:from>
    <xdr:to>
      <xdr:col>11</xdr:col>
      <xdr:colOff>736600</xdr:colOff>
      <xdr:row>28</xdr:row>
      <xdr:rowOff>12700</xdr:rowOff>
    </xdr:to>
    <xdr:sp macro="IrAHoja" textlink="">
      <xdr:nvSpPr>
        <xdr:cNvPr id="13" name="btn_PANEL_14" descr="12_PANEL">
          <a:extLst>
            <a:ext uri="{FF2B5EF4-FFF2-40B4-BE49-F238E27FC236}">
              <a16:creationId xmlns:a16="http://schemas.microsoft.com/office/drawing/2014/main" id="{78F358A2-4738-A4B5-C9F1-7FA9E305032A}"/>
            </a:ext>
          </a:extLst>
        </xdr:cNvPr>
        <xdr:cNvSpPr/>
      </xdr:nvSpPr>
      <xdr:spPr>
        <a:xfrm>
          <a:off x="6451600" y="6400800"/>
          <a:ext cx="2667000" cy="317500"/>
        </a:xfrm>
        <a:prstGeom prst="roundRect">
          <a:avLst/>
        </a:prstGeom>
        <a:solidFill>
          <a:srgbClr val="2784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9181BE0-54EB-8788-204F-8130679D1660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50C73A0-B299-854C-A8F9-234ED521B61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1FD7795-0659-8A47-77AD-B8C95594B79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59689D42-492B-102A-F1A1-D27DB0F36B4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9C8DD8B-18A4-0E21-CCA5-63E9A641336E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C01AD98-02BE-CBFC-76E6-8C78D1FCD04B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4073AA2-181F-D98A-DFA4-37F7B739768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729F6A9-4529-BBEA-8BAB-96213D7EBDDD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F166C528-4AB3-5D8F-6DB3-F22DBDD133C7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38E596A3-5205-8191-BD7C-A56156E32AE9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2973635-CAA8-5632-CB09-ECB42C476D3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72262FA9-E1DC-AD65-3901-B7DB4D83DEC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4DC0534-DBA1-01FC-0473-3856593AA0A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D3B53DE1-6C2C-05EC-54AE-A8BA8F2C8B8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D6333D0-4110-44F7-5F62-15E582A8FE8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C16229D-53C6-3A94-B1A3-01072A9CFE2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14D1511-03F3-3593-DD00-548DB010B3C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7DCF84E2-5886-5D1C-493F-03A62ED93FE0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59E86724-DBD2-011A-CFDF-CE2F57B0C86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DA9DD07-9EDC-0993-A899-3466C207E7D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78232CBD-88D8-B1D9-7658-C4005B58AD35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39BCEBB-85F9-A536-4033-ECBF78DD181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A6F436FC-6A66-9A16-5076-98F93BFB715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8208A6E-3DA7-BEC0-5D41-97CB33A73DA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840774D-D59F-98B8-9843-E742C5ADC0D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E606B8A8-CEB7-7DA2-1245-234557CC6F9F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9B3732A-5A15-D6A3-5D85-94C8021B8352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DDAC563-5346-500A-FD66-F9EE4EBAF23A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350E95B1-2C1B-BF86-B89D-053A4A3E4C31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C63D4165-736D-627B-B0B9-2A3F922D4E97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0D1AE19-0085-9B51-44A7-25FBD0DB136A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3715BB6-EE5F-F63F-6366-2AD585EF4116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DDFDFBC-6AAE-72E1-07E9-6C6D16A2EAD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0790585D-5C73-8CD6-0DA8-EBF8532294AD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3D2F3BDB-8879-88E8-CE1D-0F40731DC3A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A823DAF0-BC12-1805-57DF-0A71E472EC0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E8AC8E6-BDC1-D369-B917-52CF5E14635A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2891A56-0413-8BBB-6E10-3471FD693513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D6A33725-5E23-873B-0CFA-66B5F778EC8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9DA600F0-C15B-20DD-1FE3-7ADD7921A160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2138E7F0-91CB-B2DF-0EFE-9E3B8F4085F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7D516BB-8AB3-2146-93A2-358BA229F89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9521240F-B395-B1EE-4007-31B43F9D5FE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61ABB7B5-E7E2-9589-7C37-C8624B676124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99F5D9E-F42F-D064-6DCD-8CF7BB34EB1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3" name="btn_ACTUALIZAR_2">
          <a:extLst>
            <a:ext uri="{FF2B5EF4-FFF2-40B4-BE49-F238E27FC236}">
              <a16:creationId xmlns:a16="http://schemas.microsoft.com/office/drawing/2014/main" id="{47B48AE1-A18E-9FC4-205E-45BF2D7F7A15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  <xdr:twoCellAnchor>
    <xdr:from>
      <xdr:col>4</xdr:col>
      <xdr:colOff>120650</xdr:colOff>
      <xdr:row>19</xdr:row>
      <xdr:rowOff>146050</xdr:rowOff>
    </xdr:from>
    <xdr:to>
      <xdr:col>11</xdr:col>
      <xdr:colOff>790575</xdr:colOff>
      <xdr:row>39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1C2D10-1DB2-D291-485D-C6674EA37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5_RECEPCION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5_RECEPCION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A00902-CBAD-4157-8E61-75F2BF980208}" name="tblCatalogos" displayName="tblCatalogos" ref="A7:S17" totalsRowShown="0" headerRowDxfId="224" dataDxfId="246" headerRowBorderDxfId="244" tableBorderDxfId="245" totalsRowBorderDxfId="243">
  <autoFilter ref="A7:S17" xr:uid="{4BA00902-CBAD-4157-8E61-75F2BF980208}"/>
  <tableColumns count="19">
    <tableColumn id="1" xr3:uid="{D96A3127-8D2E-4BE5-8071-5CC09BE76276}" name="producto_id" dataDxfId="223"/>
    <tableColumn id="2" xr3:uid="{A438221B-5F86-4AD2-92BD-648533BB37E1}" name="nombre_producto" dataDxfId="242"/>
    <tableColumn id="3" xr3:uid="{5C97ACF4-70D1-458C-95D4-BC738210BDEB}" name="categoria" dataDxfId="241"/>
    <tableColumn id="4" xr3:uid="{963F8093-467F-4970-AF22-F3F504629C9F}" name="presentacion_id" dataDxfId="240"/>
    <tableColumn id="5" xr3:uid="{4AA06702-F375-4E58-97F2-55FBE4B434ED}" name="presentacion" dataDxfId="239"/>
    <tableColumn id="6" xr3:uid="{A1EE4D20-83E3-4277-A4A9-3B1992910A88}" name="unidad_base" dataDxfId="238"/>
    <tableColumn id="7" xr3:uid="{4A4602A6-DB30-450D-B5A8-E9BB42507179}" name="unidad_operativa" dataDxfId="237"/>
    <tableColumn id="8" xr3:uid="{7CE9C11E-53B7-42D3-A969-4BCD3D9409F3}" name="factor_conversion" dataDxfId="236"/>
    <tableColumn id="9" xr3:uid="{0D73AE37-0D1C-4230-8DCA-98087B4E6101}" name="controla_lote" dataDxfId="235"/>
    <tableColumn id="10" xr3:uid="{829052E0-AA17-4589-86F3-ABBF61307070}" name="controla_vencimiento" dataDxfId="234"/>
    <tableColumn id="11" xr3:uid="{12A721A4-EE72-4021-A480-EDC0B0018F9F}" name="controla_frio" dataDxfId="233"/>
    <tableColumn id="12" xr3:uid="{3D4A234A-2294-4242-834F-ACD35EBFA5D4}" name="temperatura_min_c" dataDxfId="232"/>
    <tableColumn id="13" xr3:uid="{A3DF59E1-AEBD-4149-ABEE-F5A7ADB879E8}" name="temperatura_max_c" dataDxfId="231"/>
    <tableColumn id="14" xr3:uid="{15831377-E896-480D-B82E-7FE1151BD366}" name="es_retornable" dataDxfId="230"/>
    <tableColumn id="15" xr3:uid="{49BD6897-3174-4514-84AA-AE340B6FA18F}" name="proveedor_referencia" dataDxfId="229"/>
    <tableColumn id="16" xr3:uid="{937025DC-787C-497C-A0BA-A5D0991B3A36}" name="estado_registro" dataDxfId="228"/>
    <tableColumn id="17" xr3:uid="{B2D41040-9D5D-4761-9D24-2779C1BC34E5}" name="fecha_alta" dataDxfId="227"/>
    <tableColumn id="18" xr3:uid="{6C4A094A-2ED4-415D-83D0-AC9395F573A0}" name="responsable" dataDxfId="226"/>
    <tableColumn id="19" xr3:uid="{7763DB22-8745-47DB-872C-5DC8946084F3}" name="observaciones" dataDxfId="2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138D0-C537-4FB2-B432-8E1E3F131548}" name="tblUbicaciones" displayName="tblUbicaciones" ref="A7:K14" totalsRowShown="0" headerRowDxfId="208" dataDxfId="222" headerRowBorderDxfId="220" tableBorderDxfId="221" totalsRowBorderDxfId="219">
  <autoFilter ref="A7:K14" xr:uid="{B7B138D0-C537-4FB2-B432-8E1E3F131548}"/>
  <tableColumns count="11">
    <tableColumn id="1" xr3:uid="{693FACD1-56B6-464F-9157-F189129E7C29}" name="ubicacion_id" dataDxfId="207"/>
    <tableColumn id="2" xr3:uid="{F1CF2896-2A5F-4B44-94C6-BCE3437E186F}" name="sede" dataDxfId="218"/>
    <tableColumn id="3" xr3:uid="{4D5A3214-FC03-4443-8D8F-DE8A5FC8FA9B}" name="area" dataDxfId="217"/>
    <tableColumn id="4" xr3:uid="{D9B988DD-F185-42C0-BA34-798B67E1657B}" name="zona" dataDxfId="216"/>
    <tableColumn id="5" xr3:uid="{059159BC-8A11-4F0D-BEDE-6A8B49C975A6}" name="punto" dataDxfId="215"/>
    <tableColumn id="6" xr3:uid="{EA307B16-B4B6-414B-A510-A1C30B71BB4E}" name="tipo_ubicacion" dataDxfId="214"/>
    <tableColumn id="7" xr3:uid="{36990719-060B-43AC-BDB0-931D1468CB71}" name="permite_inventario" dataDxfId="213"/>
    <tableColumn id="8" xr3:uid="{F03E96AD-3C81-42C8-BD1A-BE3FECD34440}" name="requiere_frio" dataDxfId="212"/>
    <tableColumn id="9" xr3:uid="{C66B1245-3658-4ECD-8E54-171365E90484}" name="estado_registro" dataDxfId="211"/>
    <tableColumn id="10" xr3:uid="{DC30B93B-909E-4754-A97C-40E9116216B9}" name="responsable" dataDxfId="210"/>
    <tableColumn id="11" xr3:uid="{BBC6AF0F-4EA4-48A0-B69A-916E85CC15BC}" name="observaciones" dataDxfId="2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EF6E8B-AD45-4D60-A914-D220D4DF8700}" name="tblSolicitudes" displayName="tblSolicitudes" ref="A7:P8" totalsRowShown="0" headerRowDxfId="187" dataDxfId="206" headerRowBorderDxfId="204" tableBorderDxfId="205" totalsRowBorderDxfId="203">
  <autoFilter ref="A7:P8" xr:uid="{A4EF6E8B-AD45-4D60-A914-D220D4DF8700}"/>
  <tableColumns count="16">
    <tableColumn id="1" xr3:uid="{F301E61D-3FFD-4C75-871F-01F42122E2D1}" name="solicitud_id" dataDxfId="186"/>
    <tableColumn id="2" xr3:uid="{D701846E-1C30-41A7-909D-66021D4D0702}" name="fecha_solicitud" dataDxfId="202"/>
    <tableColumn id="3" xr3:uid="{94AA60B0-2EB0-4077-9DAD-3C6821EEDE20}" name="solicitante" dataDxfId="201"/>
    <tableColumn id="4" xr3:uid="{1696844C-7612-4C12-9257-51FD20551142}" name="ubicacion_origen" dataDxfId="200"/>
    <tableColumn id="5" xr3:uid="{F860ADA0-7399-4338-AD10-340AE64219EA}" name="ubicacion_destino" dataDxfId="199"/>
    <tableColumn id="6" xr3:uid="{3C8DADE5-7CBE-404F-8C16-06CA8288230F}" name="prioridad" dataDxfId="198"/>
    <tableColumn id="7" xr3:uid="{889C439D-3319-4D23-9F26-C5B2DCA46B07}" name="estado" dataDxfId="197"/>
    <tableColumn id="8" xr3:uid="{F094CB10-5013-40B2-A6DD-952A5B06A3C6}" name="producto_id" dataDxfId="196"/>
    <tableColumn id="9" xr3:uid="{BDC47EBB-793D-4ADD-A5B3-0BEE7E099F08}" name="presentacion" dataDxfId="195"/>
    <tableColumn id="10" xr3:uid="{D810EBBA-3984-43B7-97E3-08DA01BADA8E}" name="unidad" dataDxfId="194"/>
    <tableColumn id="11" xr3:uid="{C14CE2E3-5088-4E23-B17A-B8F42154D356}" name="cantidad_solicitada" dataDxfId="193"/>
    <tableColumn id="12" xr3:uid="{55CD627D-A926-4C54-835D-2EDD6DBDEBAA}" name="cantidad_aprobada" dataDxfId="192"/>
    <tableColumn id="13" xr3:uid="{A3F1CCB6-D556-40BB-804E-2160DCA896C1}" name="aprobacion_pct" dataDxfId="191">
      <calculatedColumnFormula>IF(OR(K8="",L8=""),"",IFERROR(L8/K8,0))</calculatedColumnFormula>
    </tableColumn>
    <tableColumn id="14" xr3:uid="{812F6A99-E65C-4DE6-8DCD-58D2E52868B3}" name="fecha_necesidad" dataDxfId="190"/>
    <tableColumn id="15" xr3:uid="{8F2F61C6-B9E8-4887-B504-4FCC916D7A7B}" name="responsable_aprobacion" dataDxfId="189"/>
    <tableColumn id="16" xr3:uid="{71A3D9A4-C8CE-4830-98EE-B8B73DF78712}" name="observaciones" dataDxfId="18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2D338F-E56E-4344-AEB1-D8074700B351}" name="tblRemisiones" displayName="tblRemisiones" ref="A7:W8" totalsRowShown="0" headerRowDxfId="159" dataDxfId="185" headerRowBorderDxfId="183" tableBorderDxfId="184" totalsRowBorderDxfId="182">
  <autoFilter ref="A7:W8" xr:uid="{102D338F-E56E-4344-AEB1-D8074700B351}"/>
  <tableColumns count="23">
    <tableColumn id="1" xr3:uid="{B3D5170D-A414-48B0-981E-A177E2F1F2B7}" name="remision_id" dataDxfId="158"/>
    <tableColumn id="2" xr3:uid="{A6D43BC8-FFD9-48A1-A13D-18F7DB4394F6}" name="solicitud_id" dataDxfId="181"/>
    <tableColumn id="3" xr3:uid="{9DE3DD5A-6AD0-44E5-AE2F-F07840B9EA54}" name="fecha_despacho" dataDxfId="180"/>
    <tableColumn id="4" xr3:uid="{4EDD4AD4-83F1-4522-97D9-B6B7A263A098}" name="ubicacion_origen" dataDxfId="179"/>
    <tableColumn id="5" xr3:uid="{6316AE36-93B5-457B-AB99-486F8A10AD34}" name="ubicacion_destino" dataDxfId="178"/>
    <tableColumn id="6" xr3:uid="{B65C9D51-5D32-42FB-B517-E3E3FEC9206D}" name="estado" dataDxfId="177"/>
    <tableColumn id="7" xr3:uid="{1E955D14-E2F2-43C6-AE27-4948284891E2}" name="producto_id" dataDxfId="176"/>
    <tableColumn id="8" xr3:uid="{2CD5AA9F-68E7-4D2C-A435-53BE726A2436}" name="presentacion" dataDxfId="175"/>
    <tableColumn id="9" xr3:uid="{E6EC46A7-EAA9-4102-81AD-163F9DBCE800}" name="lote" dataDxfId="174"/>
    <tableColumn id="10" xr3:uid="{EC2986F9-5D44-4C4E-830A-EBADA7B08D5C}" name="fecha_vencimiento" dataDxfId="173"/>
    <tableColumn id="11" xr3:uid="{DA85FA7F-D9F5-47F3-A7D0-4D8E23CC6635}" name="unidad" dataDxfId="172"/>
    <tableColumn id="12" xr3:uid="{30B09AFD-EECC-408D-AD5A-13CFDFCFFD9C}" name="cantidad_solicitada" dataDxfId="171"/>
    <tableColumn id="13" xr3:uid="{A573E31F-F190-4BA3-ACBC-256DB6B8F2DB}" name="cantidad_aprobada" dataDxfId="170"/>
    <tableColumn id="14" xr3:uid="{0CACC5BB-DBCB-4680-9093-A96E8B92E77A}" name="cantidad_preparada" dataDxfId="169"/>
    <tableColumn id="15" xr3:uid="{0B2022B5-6C5B-4A25-8685-36F8CA2E2DEB}" name="cantidad_cargada" dataDxfId="168"/>
    <tableColumn id="16" xr3:uid="{D0B0C3F8-3BA2-4328-AFF3-C721CB39BD64}" name="cantidad_despachada" dataDxfId="167"/>
    <tableColumn id="17" xr3:uid="{41738B2A-EDE6-44B2-A994-1C9DB42DC189}" name="cantidad_recibida" dataDxfId="166">
      <calculatedColumnFormula>IF(OR(A8="",G8=""),"",SUMIFS('[1]05_RECEPCIONES'!$I$8:$I$200,'[1]05_RECEPCIONES'!$B$8:$B$200,A8,'[1]05_RECEPCIONES'!$F$8:$F$200,G8,'[1]05_RECEPCIONES'!$G$8:$G$200,I8))</calculatedColumnFormula>
    </tableColumn>
    <tableColumn id="18" xr3:uid="{0CAEA379-D950-4BFC-A6B7-AF9E661CAEE5}" name="diferencia_recepcion" dataDxfId="165">
      <calculatedColumnFormula>IF(OR(P8="",Q8=""),"",Q8-P8)</calculatedColumnFormula>
    </tableColumn>
    <tableColumn id="19" xr3:uid="{B591529A-7EB1-419C-B312-56D79666B581}" name="cumplimiento_pct" dataDxfId="164">
      <calculatedColumnFormula>IF(OR(P8="",Q8=""),"",IFERROR(Q8/P8,0))</calculatedColumnFormula>
    </tableColumn>
    <tableColumn id="20" xr3:uid="{09524C9B-508B-4A41-97C6-79F0B92E4690}" name="custodio_salida" dataDxfId="163"/>
    <tableColumn id="21" xr3:uid="{0336B845-12E4-4310-A117-89F5AC868FC1}" name="custodio_recepcion" dataDxfId="162"/>
    <tableColumn id="22" xr3:uid="{2DD922D0-6722-4B71-8EDE-01A98FB8CC22}" name="evidencia" dataDxfId="161"/>
    <tableColumn id="23" xr3:uid="{85939819-F67F-48B9-862A-C5C40039495F}" name="observaciones" dataDxfId="1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32FEAD-1837-44AD-945C-4021681FD52C}" name="tblRecepciones" displayName="tblRecepciones" ref="A7:Q8" totalsRowShown="0" headerRowDxfId="137" dataDxfId="157" headerRowBorderDxfId="155" tableBorderDxfId="156" totalsRowBorderDxfId="154">
  <autoFilter ref="A7:Q8" xr:uid="{6C32FEAD-1837-44AD-945C-4021681FD52C}"/>
  <tableColumns count="17">
    <tableColumn id="1" xr3:uid="{266F3B79-FA12-4C0A-AF35-E1377FC141F4}" name="recepcion_id" dataDxfId="136"/>
    <tableColumn id="2" xr3:uid="{5E1690FB-8AD2-48E2-809A-06E9F8A55A78}" name="remision_id" dataDxfId="153"/>
    <tableColumn id="3" xr3:uid="{E197E14E-3636-4929-BE0C-1E572466D5E1}" name="fecha_recepcion" dataDxfId="152"/>
    <tableColumn id="4" xr3:uid="{C139A2BB-8DD3-4D91-A9CA-FD990BE39130}" name="ubicacion_destino" dataDxfId="151"/>
    <tableColumn id="5" xr3:uid="{DC89B912-7DAA-45AF-9328-1F80E787CC7C}" name="metodo_recepcion" dataDxfId="150"/>
    <tableColumn id="6" xr3:uid="{84068F53-9CC3-4B0A-8F96-9985AF4ABCBF}" name="producto_id" dataDxfId="149"/>
    <tableColumn id="7" xr3:uid="{9D3FF5AF-6895-442F-A106-2BE243698A8B}" name="lote" dataDxfId="148"/>
    <tableColumn id="8" xr3:uid="{3B24C692-70F4-4144-96F9-A4B2208C8197}" name="unidad" dataDxfId="147"/>
    <tableColumn id="9" xr3:uid="{7D7678C8-87A3-426C-81D9-D956257525D4}" name="cantidad_recibida" dataDxfId="146"/>
    <tableColumn id="10" xr3:uid="{50B6276E-6878-4C27-B4DB-E45A35062A76}" name="cantidad_conforme" dataDxfId="145"/>
    <tableColumn id="11" xr3:uid="{9C5FE983-F064-4105-BEDB-532EFB813B82}" name="cantidad_no_conforme" dataDxfId="144"/>
    <tableColumn id="12" xr3:uid="{E5CC5EA1-AF0A-4862-B1A9-367753E1E0E0}" name="temperatura_c" dataDxfId="143"/>
    <tableColumn id="13" xr3:uid="{1C73B41D-90C7-4224-B872-DD8F2667DDE0}" name="condicion" dataDxfId="142"/>
    <tableColumn id="14" xr3:uid="{970848B0-8799-4229-888D-7FCE64D49373}" name="decision" dataDxfId="141"/>
    <tableColumn id="15" xr3:uid="{393DF95B-5C34-4754-ADB7-6D60CF78BB46}" name="responsable" dataDxfId="140"/>
    <tableColumn id="16" xr3:uid="{538615F2-5DCB-40E1-AAF5-320C1D3DB351}" name="evidencia" dataDxfId="139"/>
    <tableColumn id="17" xr3:uid="{2BADB043-156C-45A4-AC7A-508E7C25C3F2}" name="observaciones" dataDxfId="1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375BD0-E25B-46E7-8627-3CFD5F9A4621}" name="tblConteos" displayName="tblConteos" ref="A7:R8" totalsRowShown="0" headerRowDxfId="114" dataDxfId="135" headerRowBorderDxfId="133" tableBorderDxfId="134" totalsRowBorderDxfId="132">
  <autoFilter ref="A7:R8" xr:uid="{CD375BD0-E25B-46E7-8627-3CFD5F9A4621}"/>
  <tableColumns count="18">
    <tableColumn id="1" xr3:uid="{E559FC87-D334-4697-91A9-2A2928100187}" name="sesion_conteo_id" dataDxfId="113"/>
    <tableColumn id="2" xr3:uid="{DBB4EFDF-43DC-4AD5-B4A5-2B6E4FFBB967}" name="fecha_corte" dataDxfId="131"/>
    <tableColumn id="3" xr3:uid="{7572350B-F5C7-441C-9CAD-2AAE1B70FDFF}" name="sede" dataDxfId="130"/>
    <tableColumn id="4" xr3:uid="{F9BE7F70-B4CB-4BFD-8ABD-644F3AB6A35B}" name="ubicacion_id" dataDxfId="129"/>
    <tableColumn id="5" xr3:uid="{FE266179-F496-4B17-8D27-C95F40C036E9}" name="responsable" dataDxfId="128"/>
    <tableColumn id="6" xr3:uid="{126F60BA-05EF-4BFE-9761-3189B0D33C19}" name="metodo" dataDxfId="127"/>
    <tableColumn id="7" xr3:uid="{9792E585-0B28-4EB5-84F0-87C86CEBE1FA}" name="producto_id" dataDxfId="126"/>
    <tableColumn id="8" xr3:uid="{7029948F-261B-4EA3-891C-826F988681BE}" name="presentacion" dataDxfId="125"/>
    <tableColumn id="9" xr3:uid="{6A7D2AE3-B8A0-4EEB-9E9C-A69C89C98CB5}" name="lote" dataDxfId="124"/>
    <tableColumn id="10" xr3:uid="{485D4694-91DC-47D9-B391-8808D14B4EEE}" name="unidad" dataDxfId="123"/>
    <tableColumn id="11" xr3:uid="{036FF274-B67F-4614-B730-B5B84236D9D5}" name="cantidad_sistema_referencia" dataDxfId="122"/>
    <tableColumn id="12" xr3:uid="{D758848F-C6E1-43C9-AEF7-333FD833F95A}" name="cantidad_contada" dataDxfId="121"/>
    <tableColumn id="13" xr3:uid="{0AEF3DDA-06BA-4D86-B6D9-B307F90BC0C3}" name="diferencia" dataDxfId="120">
      <calculatedColumnFormula>IF(OR(K8="",L8=""),"",L8-K8)</calculatedColumnFormula>
    </tableColumn>
    <tableColumn id="14" xr3:uid="{FD2B23FB-053F-4B44-833A-952005F02D2E}" name="investigacion" dataDxfId="119"/>
    <tableColumn id="15" xr3:uid="{93E619E9-DDC5-4CD8-93F5-C197925F3C2A}" name="documento_ajuste_id" dataDxfId="118"/>
    <tableColumn id="16" xr3:uid="{5B24033A-A7C2-4E79-947A-C86E1CE6362D}" name="estado" dataDxfId="117"/>
    <tableColumn id="17" xr3:uid="{547FF8DA-FF55-474F-A409-42C49935F4A2}" name="evidencia" dataDxfId="116"/>
    <tableColumn id="18" xr3:uid="{A13B190F-50E2-4767-BF65-C56CDC7F494B}" name="observaciones" dataDxfId="1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01C0FB-83BD-4419-AD4E-B7CD047FED22}" name="tblMovimientos" displayName="tblMovimientos" ref="A7:Q8" totalsRowShown="0" headerRowDxfId="92" dataDxfId="112" headerRowBorderDxfId="110" tableBorderDxfId="111" totalsRowBorderDxfId="109">
  <autoFilter ref="A7:Q8" xr:uid="{AD01C0FB-83BD-4419-AD4E-B7CD047FED22}"/>
  <tableColumns count="17">
    <tableColumn id="1" xr3:uid="{4AC95247-5E7A-409A-BACD-6BBDF589B033}" name="movimiento_id" dataDxfId="91"/>
    <tableColumn id="2" xr3:uid="{7528C555-B0E5-4AAA-9FE7-5B75FEAD7E56}" name="fecha_movimiento" dataDxfId="108"/>
    <tableColumn id="3" xr3:uid="{86153F14-398A-446B-B36F-4F4D5D7D2D39}" name="tipo_movimiento" dataDxfId="107"/>
    <tableColumn id="4" xr3:uid="{FDCF0E52-0888-4A22-A6AF-DB5B36115D1E}" name="ubicacion_origen" dataDxfId="106"/>
    <tableColumn id="5" xr3:uid="{CB3057CE-B362-4E51-BB64-16B8479E84D1}" name="ubicacion_destino" dataDxfId="105"/>
    <tableColumn id="6" xr3:uid="{8808B3AA-E405-46B9-BF68-72FE08FA68A1}" name="producto_id" dataDxfId="104"/>
    <tableColumn id="7" xr3:uid="{13956275-890D-401D-8E9A-6B2C849D161A}" name="presentacion" dataDxfId="103"/>
    <tableColumn id="8" xr3:uid="{9207B7B5-A7F1-4D17-B882-D957EF909F35}" name="lote" dataDxfId="102"/>
    <tableColumn id="9" xr3:uid="{9DB208D4-A581-4BC4-BE97-15A8FBC5D7D6}" name="unidad" dataDxfId="101"/>
    <tableColumn id="10" xr3:uid="{73759B65-351A-4F12-B130-6247DC3AF65A}" name="cantidad" dataDxfId="100"/>
    <tableColumn id="11" xr3:uid="{EBEF17AB-E4E3-4FDB-98DB-99C154115E82}" name="custodio_salida" dataDxfId="99"/>
    <tableColumn id="12" xr3:uid="{12FCEEB7-B869-47CC-B954-C3498492FE12}" name="custodio_entrada" dataDxfId="98"/>
    <tableColumn id="13" xr3:uid="{7EE0D64E-55F7-4642-8A7E-5B9E723B2A8E}" name="documento_relacionado_id" dataDxfId="97"/>
    <tableColumn id="14" xr3:uid="{95897DE8-0994-4AEC-BCB2-A09C9D892962}" name="responsable" dataDxfId="96"/>
    <tableColumn id="15" xr3:uid="{6C6D73EB-E30E-4A9A-B94B-1EDA51E45EEA}" name="evidencia" dataDxfId="95"/>
    <tableColumn id="16" xr3:uid="{15422400-3429-4AD2-B8CB-2AFC3C41D667}" name="estado" dataDxfId="94"/>
    <tableColumn id="17" xr3:uid="{A63FBFC6-07A5-4B22-85EA-F409E00EF583}" name="observaciones" dataDxfId="9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1AF131-04A3-46F1-BF44-FAE1725E00E7}" name="tblProduccion" displayName="tblProduccion" ref="A7:U8" totalsRowShown="0" headerRowDxfId="66" dataDxfId="90" headerRowBorderDxfId="88" tableBorderDxfId="89" totalsRowBorderDxfId="87">
  <autoFilter ref="A7:U8" xr:uid="{051AF131-04A3-46F1-BF44-FAE1725E00E7}"/>
  <tableColumns count="21">
    <tableColumn id="1" xr3:uid="{A0EE25C4-342D-4B62-A1EF-8D9E683236CE}" name="orden_produccion_id" dataDxfId="65"/>
    <tableColumn id="2" xr3:uid="{2835F421-89B4-45C7-B29E-B509F2ECB6C8}" name="fecha_produccion" dataDxfId="86"/>
    <tableColumn id="3" xr3:uid="{39A85E85-8BCF-4837-9AA9-0A79F2B9652E}" name="receta_id" dataDxfId="85"/>
    <tableColumn id="4" xr3:uid="{0C7A4D06-3896-4A31-B699-AB422D06A945}" name="version_receta" dataDxfId="84"/>
    <tableColumn id="5" xr3:uid="{C45FE7C1-C1A1-4A15-9E1B-14D2A12C93A5}" name="lote_salida" dataDxfId="83"/>
    <tableColumn id="6" xr3:uid="{72AD3141-750A-4210-9C74-3B36BF2A0C36}" name="estado_produccion" dataDxfId="82"/>
    <tableColumn id="7" xr3:uid="{C07ECF19-B859-4D9C-991E-FEDE1DCEB202}" name="estado_calidad" dataDxfId="81"/>
    <tableColumn id="8" xr3:uid="{C3D96AA3-90DC-4DA5-83E9-0028AC944153}" name="producto_insumo_id" dataDxfId="80"/>
    <tableColumn id="9" xr3:uid="{4F3D30FB-802E-4E83-9465-03DF33E50E00}" name="lote_insumo" dataDxfId="79"/>
    <tableColumn id="10" xr3:uid="{4B91B3CE-6386-4E88-95AA-B1EF1C825041}" name="unidad_insumo" dataDxfId="78"/>
    <tableColumn id="11" xr3:uid="{C1DDFC1F-8F1E-483E-9EA6-1AC0A16E24DB}" name="cantidad_insumo" dataDxfId="77"/>
    <tableColumn id="12" xr3:uid="{902DEB66-1331-4943-AA4F-BCB87EFCDC49}" name="producto_salida_id" dataDxfId="76"/>
    <tableColumn id="13" xr3:uid="{C063D029-DC9A-4C6A-9FB9-A30B073461C5}" name="unidad_salida" dataDxfId="75"/>
    <tableColumn id="14" xr3:uid="{2CAA4689-10D6-452B-ABE5-5C5213E2A77E}" name="salida_total" dataDxfId="74"/>
    <tableColumn id="15" xr3:uid="{0115B174-F1B5-423B-9804-8BCC712B479D}" name="salida_buena" dataDxfId="73"/>
    <tableColumn id="16" xr3:uid="{20833ECB-F619-4FFE-8B56-B2BC78567912}" name="reproceso" dataDxfId="72"/>
    <tableColumn id="17" xr3:uid="{33763002-4613-4860-8CD6-7634944A21F2}" name="merma" dataDxfId="71"/>
    <tableColumn id="18" xr3:uid="{C14E6064-ACA6-4282-AAB5-024463E9843F}" name="rendimiento_pct" dataDxfId="70">
      <calculatedColumnFormula>IF(OR(N8="",O8=""),"",IFERROR(O8/N8,0))</calculatedColumnFormula>
    </tableColumn>
    <tableColumn id="19" xr3:uid="{2D3AEE4E-47C1-4ABE-81E3-6B8FB84C0A45}" name="responsable" dataDxfId="69"/>
    <tableColumn id="20" xr3:uid="{0B440284-DBF5-45A9-97F0-D534AD7EDD7F}" name="evidencia" dataDxfId="68"/>
    <tableColumn id="21" xr3:uid="{AA853A0B-E0CB-431E-91F7-908A77CFFDE8}" name="observaciones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BBFE9E-23D9-4450-A2C8-B4908CC54074}" name="tblCalidadMermas" displayName="tblCalidadMermas" ref="A7:Q8" totalsRowShown="0" headerRowDxfId="44" dataDxfId="64" headerRowBorderDxfId="62" tableBorderDxfId="63" totalsRowBorderDxfId="61">
  <autoFilter ref="A7:Q8" xr:uid="{A3BBFE9E-23D9-4450-A2C8-B4908CC54074}"/>
  <tableColumns count="17">
    <tableColumn id="1" xr3:uid="{16534603-E0E7-4A74-AB79-9941D691B250}" name="evento_id" dataDxfId="43"/>
    <tableColumn id="2" xr3:uid="{0303E3CC-756D-45B2-B409-5871AD751215}" name="fecha_evento" dataDxfId="60"/>
    <tableColumn id="3" xr3:uid="{4F9A9267-BA21-4588-A80F-BF112CB6597F}" name="tipo_evento" dataDxfId="59"/>
    <tableColumn id="4" xr3:uid="{34BBDA60-0295-4812-A503-0E41A3519320}" name="ubicacion_id" dataDxfId="58"/>
    <tableColumn id="5" xr3:uid="{E8BC1AA1-D58D-4DE0-B5F2-0F1CB0C4994B}" name="producto_id" dataDxfId="57"/>
    <tableColumn id="6" xr3:uid="{A4B3FEF8-EA7B-4703-A68D-51CF32B7AD2A}" name="lote" dataDxfId="56"/>
    <tableColumn id="7" xr3:uid="{6A83F788-EF96-4685-91F7-1E861561F020}" name="fecha_vencimiento" dataDxfId="55"/>
    <tableColumn id="8" xr3:uid="{9A7565C0-BDB9-42E5-892A-D64E5EA83144}" name="condicion" dataDxfId="54"/>
    <tableColumn id="9" xr3:uid="{3F4FD41D-CB6B-4592-B8F3-717E623C7082}" name="temperatura_c" dataDxfId="53"/>
    <tableColumn id="10" xr3:uid="{A7A05D29-7281-4370-A75B-E90AC287E427}" name="cantidad_afectada" dataDxfId="52"/>
    <tableColumn id="11" xr3:uid="{6A3D8D7B-4FB1-4968-9B92-E543737CA36C}" name="unidad" dataDxfId="51"/>
    <tableColumn id="12" xr3:uid="{F2FEF027-EA9F-4208-A4AA-BB7C020883E2}" name="disposicion" dataDxfId="50"/>
    <tableColumn id="13" xr3:uid="{568C45D4-BA6C-4E7B-BAB0-24DAF83741AF}" name="documento_relacionado_id" dataDxfId="49"/>
    <tableColumn id="14" xr3:uid="{44426811-64A3-43EF-AA0C-F6249031BB8D}" name="responsable" dataDxfId="48"/>
    <tableColumn id="15" xr3:uid="{651C731D-4D15-4F04-A73A-2F24DA5B7948}" name="evidencia" dataDxfId="47"/>
    <tableColumn id="16" xr3:uid="{289F170A-FADF-462D-9FF5-7EF00F4FE149}" name="estado" dataDxfId="46"/>
    <tableColumn id="17" xr3:uid="{8D0C0935-1AA0-48A9-A879-778FFCFD580C}" name="observaciones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61911-ACBA-47EB-8AF7-67E820BB94E5}" name="tblRetornables" displayName="tblRetornables" ref="A7:N8" totalsRowShown="0" headerRowDxfId="25" dataDxfId="42" headerRowBorderDxfId="40" tableBorderDxfId="41" totalsRowBorderDxfId="39">
  <autoFilter ref="A7:N8" xr:uid="{5A061911-ACBA-47EB-8AF7-67E820BB94E5}"/>
  <tableColumns count="14">
    <tableColumn id="1" xr3:uid="{60B8B095-B223-4ACE-AEE3-7ADD0AFB9C75}" name="movimiento_retornable_id" dataDxfId="24"/>
    <tableColumn id="2" xr3:uid="{1C477278-135A-4CC5-A9DB-EA44FB75AB0D}" name="fecha_movimiento" dataDxfId="38"/>
    <tableColumn id="3" xr3:uid="{99C7B0C2-9DEF-4F1E-81AA-3195C9A552FA}" name="tipo_retornable" dataDxfId="37"/>
    <tableColumn id="4" xr3:uid="{5186E706-96DB-41BD-973D-7015AF975CF1}" name="unidad_identificada_lpn" dataDxfId="36"/>
    <tableColumn id="5" xr3:uid="{6DE2FF1F-9349-46CF-B9DC-D5EE9AFAF88B}" name="ubicacion_origen" dataDxfId="35"/>
    <tableColumn id="6" xr3:uid="{700FE5C9-8816-40C7-9E6B-CD96E702DE61}" name="ubicacion_destino" dataDxfId="34"/>
    <tableColumn id="7" xr3:uid="{9FDF7F49-BBE9-4FB8-B26D-85E982CB0CC4}" name="cantidad_salida" dataDxfId="33"/>
    <tableColumn id="8" xr3:uid="{A863A689-D07B-4D8A-97BA-8DE026C95A85}" name="cantidad_recibida" dataDxfId="32"/>
    <tableColumn id="9" xr3:uid="{AE97B6A0-8CAF-4B3A-B79E-D98C38BA0F5B}" name="diferencia" dataDxfId="31">
      <calculatedColumnFormula>IF(OR(G8="",H8=""),"",H8-G8)</calculatedColumnFormula>
    </tableColumn>
    <tableColumn id="10" xr3:uid="{E74359AD-C209-459E-BFCE-D80BC0917E37}" name="custodio_salida" dataDxfId="30"/>
    <tableColumn id="11" xr3:uid="{CBB1FF45-6DE9-489A-8412-15F407CF2F83}" name="custodio_recepcion" dataDxfId="29"/>
    <tableColumn id="12" xr3:uid="{A0A88BB7-52E7-47B9-8811-FB21A895FAEB}" name="estado" dataDxfId="28"/>
    <tableColumn id="13" xr3:uid="{4B952060-6C39-47F0-BC28-CEB60B623A89}" name="evidencia" dataDxfId="27"/>
    <tableColumn id="14" xr3:uid="{EBD534E8-D0DB-4627-85BD-317921D3A0DC}" name="observaciones" dataDxfId="2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AE6B65-867D-4620-9034-E421CD3B4AA6}" name="tblEstaciones" displayName="tblEstaciones" ref="A7:S8" totalsRowShown="0" headerRowDxfId="1" dataDxfId="23" headerRowBorderDxfId="21" tableBorderDxfId="22" totalsRowBorderDxfId="20">
  <autoFilter ref="A7:S8" xr:uid="{60AE6B65-867D-4620-9034-E421CD3B4AA6}"/>
  <tableColumns count="19">
    <tableColumn id="1" xr3:uid="{1488774C-8C51-48DB-BCEA-321D3B021D6A}" name="estacion_id" dataDxfId="0"/>
    <tableColumn id="2" xr3:uid="{42B6262C-8E4C-4897-AC6F-1A94D17DBD93}" name="sede" dataDxfId="19"/>
    <tableColumn id="3" xr3:uid="{36DF0C68-AC4D-44E4-8662-62510996170F}" name="area" dataDxfId="18"/>
    <tableColumn id="4" xr3:uid="{C881CE45-533D-48D5-A2A6-67B2E069F367}" name="zona" dataDxfId="17"/>
    <tableColumn id="5" xr3:uid="{B63EA0CD-FFD6-4991-B744-E6E4367F939A}" name="punto" dataDxfId="16"/>
    <tableColumn id="6" xr3:uid="{2AD43CA4-CF14-43FE-89BE-31EDCB2D98C6}" name="perfil_estacion" dataDxfId="15"/>
    <tableColumn id="7" xr3:uid="{501C01D3-416A-446F-ABBF-6E2825A5CAFC}" name="proceso_principal" dataDxfId="14"/>
    <tableColumn id="8" xr3:uid="{CECAC8BB-3493-43BD-B2EC-A230C8226484}" name="actor_principal" dataDxfId="13"/>
    <tableColumn id="9" xr3:uid="{EE95469D-91B9-4E6B-A1E8-EE4460A102F6}" name="picos_operativos" dataDxfId="12"/>
    <tableColumn id="10" xr3:uid="{1EA036B1-41CE-4AC1-B352-49FC0B87192B}" name="movilidad" dataDxfId="11"/>
    <tableColumn id="11" xr3:uid="{AE011C49-28A3-4E5C-B4EF-31EC6675B745}" name="interaccion_ambiental" dataDxfId="10"/>
    <tableColumn id="12" xr3:uid="{43C5D125-66F6-41E1-8A39-D6D4DD7FF71D}" name="dispositivo" dataDxfId="9"/>
    <tableColumn id="13" xr3:uid="{0B485C4C-6DBD-44F0-B583-AB0DBE71E361}" name="tipo_sesion" dataDxfId="8"/>
    <tableColumn id="14" xr3:uid="{0C88CDA8-D672-4109-B386-58BD6F243D09}" name="perifericos" dataDxfId="7"/>
    <tableColumn id="15" xr3:uid="{D8F188E8-4C72-4D3C-A292-491DFE69CC2F}" name="infraestructura" dataDxfId="6"/>
    <tableColumn id="16" xr3:uid="{60D6DF66-A4A2-41F8-8007-F78B40E252DE}" name="contingencia" dataDxfId="5"/>
    <tableColumn id="17" xr3:uid="{B5A189C2-D5E6-451D-9562-383B9ED66F2C}" name="evidencia" dataDxfId="4"/>
    <tableColumn id="18" xr3:uid="{09D29D50-C46C-4F98-9385-C7527963954E}" name="estado_registro" dataDxfId="3"/>
    <tableColumn id="19" xr3:uid="{EC246386-8232-41DF-BAF1-BF9634E50D0E}" name="observacion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D18B-8649-4F5F-A93A-149236E422E2}">
  <sheetPr codeName="Hoja1"/>
  <dimension ref="A1:R10"/>
  <sheetViews>
    <sheetView workbookViewId="0"/>
  </sheetViews>
  <sheetFormatPr baseColWidth="10" defaultRowHeight="15" x14ac:dyDescent="0.25"/>
  <sheetData>
    <row r="1" spans="1:18" x14ac:dyDescent="0.25">
      <c r="A1" t="s">
        <v>0</v>
      </c>
      <c r="B1" t="s">
        <v>5</v>
      </c>
      <c r="C1" t="s">
        <v>12</v>
      </c>
      <c r="D1" t="s">
        <v>16</v>
      </c>
      <c r="E1" t="s">
        <v>22</v>
      </c>
      <c r="F1" t="s">
        <v>32</v>
      </c>
      <c r="G1" t="s">
        <v>38</v>
      </c>
      <c r="H1" t="s">
        <v>46</v>
      </c>
      <c r="I1" t="s">
        <v>50</v>
      </c>
      <c r="J1" t="s">
        <v>58</v>
      </c>
      <c r="K1" t="s">
        <v>64</v>
      </c>
      <c r="L1" t="s">
        <v>71</v>
      </c>
      <c r="M1" t="s">
        <v>77</v>
      </c>
      <c r="N1" t="s">
        <v>85</v>
      </c>
      <c r="O1" t="s">
        <v>90</v>
      </c>
      <c r="P1" t="s">
        <v>98</v>
      </c>
      <c r="Q1" t="s">
        <v>103</v>
      </c>
      <c r="R1" t="s">
        <v>106</v>
      </c>
    </row>
    <row r="2" spans="1:18" x14ac:dyDescent="0.25">
      <c r="A2" t="s">
        <v>1</v>
      </c>
      <c r="B2" t="s">
        <v>6</v>
      </c>
      <c r="C2" t="s">
        <v>13</v>
      </c>
      <c r="D2" t="s">
        <v>6</v>
      </c>
      <c r="E2" t="s">
        <v>23</v>
      </c>
      <c r="F2" t="s">
        <v>33</v>
      </c>
      <c r="G2" t="s">
        <v>39</v>
      </c>
      <c r="H2" t="s">
        <v>6</v>
      </c>
      <c r="I2" t="s">
        <v>51</v>
      </c>
      <c r="J2" t="s">
        <v>59</v>
      </c>
      <c r="K2" t="s">
        <v>65</v>
      </c>
      <c r="L2" t="s">
        <v>72</v>
      </c>
      <c r="M2" t="s">
        <v>78</v>
      </c>
      <c r="N2" t="s">
        <v>86</v>
      </c>
      <c r="O2" t="s">
        <v>91</v>
      </c>
      <c r="P2" t="s">
        <v>48</v>
      </c>
      <c r="Q2" t="s">
        <v>104</v>
      </c>
      <c r="R2" t="s">
        <v>107</v>
      </c>
    </row>
    <row r="3" spans="1:18" x14ac:dyDescent="0.25">
      <c r="A3" t="s">
        <v>2</v>
      </c>
      <c r="B3" t="s">
        <v>7</v>
      </c>
      <c r="C3" t="s">
        <v>14</v>
      </c>
      <c r="D3" t="s">
        <v>17</v>
      </c>
      <c r="E3" t="s">
        <v>24</v>
      </c>
      <c r="F3" t="s">
        <v>34</v>
      </c>
      <c r="G3" t="s">
        <v>40</v>
      </c>
      <c r="H3" t="s">
        <v>47</v>
      </c>
      <c r="I3" t="s">
        <v>52</v>
      </c>
      <c r="J3" t="s">
        <v>60</v>
      </c>
      <c r="K3" t="s">
        <v>66</v>
      </c>
      <c r="L3" t="s">
        <v>73</v>
      </c>
      <c r="M3" t="s">
        <v>79</v>
      </c>
      <c r="N3" t="s">
        <v>49</v>
      </c>
      <c r="O3" t="s">
        <v>92</v>
      </c>
      <c r="P3" t="s">
        <v>99</v>
      </c>
      <c r="Q3" t="s">
        <v>105</v>
      </c>
      <c r="R3" t="s">
        <v>108</v>
      </c>
    </row>
    <row r="4" spans="1:18" x14ac:dyDescent="0.25">
      <c r="A4" t="s">
        <v>3</v>
      </c>
      <c r="B4" t="s">
        <v>8</v>
      </c>
      <c r="C4" t="s">
        <v>15</v>
      </c>
      <c r="D4" t="s">
        <v>18</v>
      </c>
      <c r="E4" t="s">
        <v>25</v>
      </c>
      <c r="F4" t="s">
        <v>35</v>
      </c>
      <c r="G4" t="s">
        <v>41</v>
      </c>
      <c r="H4" t="s">
        <v>48</v>
      </c>
      <c r="I4" t="s">
        <v>53</v>
      </c>
      <c r="J4" t="s">
        <v>55</v>
      </c>
      <c r="K4" t="s">
        <v>67</v>
      </c>
      <c r="L4" t="s">
        <v>61</v>
      </c>
      <c r="M4" t="s">
        <v>80</v>
      </c>
      <c r="N4" t="s">
        <v>87</v>
      </c>
      <c r="O4" t="s">
        <v>93</v>
      </c>
      <c r="P4" t="s">
        <v>100</v>
      </c>
      <c r="R4" t="s">
        <v>109</v>
      </c>
    </row>
    <row r="5" spans="1:18" x14ac:dyDescent="0.25">
      <c r="A5" t="s">
        <v>4</v>
      </c>
      <c r="B5" t="s">
        <v>9</v>
      </c>
      <c r="D5" t="s">
        <v>19</v>
      </c>
      <c r="E5" t="s">
        <v>26</v>
      </c>
      <c r="F5" t="s">
        <v>36</v>
      </c>
      <c r="G5" t="s">
        <v>42</v>
      </c>
      <c r="H5" t="s">
        <v>10</v>
      </c>
      <c r="I5" t="s">
        <v>54</v>
      </c>
      <c r="J5" t="s">
        <v>61</v>
      </c>
      <c r="K5" t="s">
        <v>55</v>
      </c>
      <c r="L5" t="s">
        <v>74</v>
      </c>
      <c r="M5" t="s">
        <v>81</v>
      </c>
      <c r="N5" t="s">
        <v>88</v>
      </c>
      <c r="O5" t="s">
        <v>94</v>
      </c>
      <c r="P5" t="s">
        <v>101</v>
      </c>
      <c r="R5" t="s">
        <v>110</v>
      </c>
    </row>
    <row r="6" spans="1:18" x14ac:dyDescent="0.25">
      <c r="B6" t="s">
        <v>10</v>
      </c>
      <c r="D6" t="s">
        <v>20</v>
      </c>
      <c r="E6" t="s">
        <v>27</v>
      </c>
      <c r="F6" t="s">
        <v>37</v>
      </c>
      <c r="G6" t="s">
        <v>43</v>
      </c>
      <c r="H6" t="s">
        <v>11</v>
      </c>
      <c r="I6" t="s">
        <v>55</v>
      </c>
      <c r="J6" t="s">
        <v>62</v>
      </c>
      <c r="K6" t="s">
        <v>68</v>
      </c>
      <c r="L6" t="s">
        <v>62</v>
      </c>
      <c r="M6" t="s">
        <v>82</v>
      </c>
      <c r="N6" t="s">
        <v>89</v>
      </c>
      <c r="O6" t="s">
        <v>95</v>
      </c>
      <c r="P6" t="s">
        <v>102</v>
      </c>
      <c r="R6" t="s">
        <v>111</v>
      </c>
    </row>
    <row r="7" spans="1:18" x14ac:dyDescent="0.25">
      <c r="B7" t="s">
        <v>11</v>
      </c>
      <c r="D7" t="s">
        <v>21</v>
      </c>
      <c r="E7" t="s">
        <v>28</v>
      </c>
      <c r="G7" t="s">
        <v>44</v>
      </c>
      <c r="H7" t="s">
        <v>49</v>
      </c>
      <c r="I7" t="s">
        <v>56</v>
      </c>
      <c r="J7" t="s">
        <v>63</v>
      </c>
      <c r="K7" t="s">
        <v>69</v>
      </c>
      <c r="L7" t="s">
        <v>75</v>
      </c>
      <c r="M7" t="s">
        <v>83</v>
      </c>
      <c r="O7" t="s">
        <v>96</v>
      </c>
    </row>
    <row r="8" spans="1:18" x14ac:dyDescent="0.25">
      <c r="D8" t="s">
        <v>10</v>
      </c>
      <c r="E8" t="s">
        <v>29</v>
      </c>
      <c r="G8" t="s">
        <v>45</v>
      </c>
      <c r="I8" t="s">
        <v>57</v>
      </c>
      <c r="K8" t="s">
        <v>70</v>
      </c>
      <c r="L8" t="s">
        <v>76</v>
      </c>
      <c r="M8" t="s">
        <v>84</v>
      </c>
      <c r="O8" t="s">
        <v>97</v>
      </c>
    </row>
    <row r="9" spans="1:18" x14ac:dyDescent="0.25">
      <c r="D9" t="s">
        <v>11</v>
      </c>
      <c r="E9" t="s">
        <v>30</v>
      </c>
    </row>
    <row r="10" spans="1:18" x14ac:dyDescent="0.25">
      <c r="E10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CACE-0E19-4F24-946C-9CF118793724}">
  <sheetPr codeName="Hoja14">
    <tabColor rgb="FF152F4A"/>
    <pageSetUpPr fitToPage="1"/>
  </sheetPr>
  <dimension ref="A1:L17"/>
  <sheetViews>
    <sheetView showGridLines="0" tabSelected="1" workbookViewId="0">
      <selection sqref="A1:L3"/>
    </sheetView>
  </sheetViews>
  <sheetFormatPr baseColWidth="10" defaultRowHeight="15" x14ac:dyDescent="0.25"/>
  <cols>
    <col min="1" max="12" width="12.7109375" style="1" customWidth="1"/>
    <col min="13" max="16384" width="11.42578125" style="1"/>
  </cols>
  <sheetData>
    <row r="1" spans="1:12" ht="30" customHeight="1" x14ac:dyDescent="0.25">
      <c r="A1" s="50" t="s">
        <v>299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2" ht="30" customHeight="1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</row>
    <row r="3" spans="1:12" ht="30" customHeight="1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</row>
    <row r="5" spans="1:12" x14ac:dyDescent="0.25">
      <c r="A5" s="51" t="s">
        <v>300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</row>
    <row r="6" spans="1:12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</row>
    <row r="8" spans="1:12" x14ac:dyDescent="0.25">
      <c r="A8" s="52" t="s">
        <v>301</v>
      </c>
      <c r="B8" s="52"/>
      <c r="C8" s="52"/>
      <c r="D8" s="52"/>
      <c r="E8" s="52"/>
      <c r="F8" s="52"/>
      <c r="H8" s="55" t="s">
        <v>308</v>
      </c>
      <c r="I8" s="55"/>
      <c r="J8" s="55"/>
      <c r="K8" s="55"/>
      <c r="L8" s="55"/>
    </row>
    <row r="9" spans="1:12" ht="26.1" customHeight="1" x14ac:dyDescent="0.25">
      <c r="A9" s="53" t="s">
        <v>302</v>
      </c>
      <c r="B9" s="53"/>
      <c r="C9" s="53"/>
      <c r="D9" s="53"/>
      <c r="E9" s="53"/>
      <c r="F9" s="53"/>
      <c r="H9" s="56" t="s">
        <v>309</v>
      </c>
      <c r="I9" s="56"/>
      <c r="J9" s="56"/>
      <c r="K9" s="56"/>
      <c r="L9" s="56"/>
    </row>
    <row r="10" spans="1:12" ht="26.1" customHeight="1" x14ac:dyDescent="0.25">
      <c r="A10" s="54" t="s">
        <v>303</v>
      </c>
      <c r="B10" s="54"/>
      <c r="C10" s="54"/>
      <c r="D10" s="54"/>
      <c r="E10" s="54"/>
      <c r="F10" s="54"/>
      <c r="H10" s="54" t="s">
        <v>310</v>
      </c>
      <c r="I10" s="54"/>
      <c r="J10" s="54"/>
      <c r="K10" s="54"/>
      <c r="L10" s="54"/>
    </row>
    <row r="11" spans="1:12" ht="26.1" customHeight="1" x14ac:dyDescent="0.25">
      <c r="A11" s="53" t="s">
        <v>304</v>
      </c>
      <c r="B11" s="53"/>
      <c r="C11" s="53"/>
      <c r="D11" s="53"/>
      <c r="E11" s="53"/>
      <c r="F11" s="53"/>
      <c r="H11" s="56" t="s">
        <v>311</v>
      </c>
      <c r="I11" s="56"/>
      <c r="J11" s="56"/>
      <c r="K11" s="56"/>
      <c r="L11" s="56"/>
    </row>
    <row r="12" spans="1:12" ht="26.1" customHeight="1" x14ac:dyDescent="0.25">
      <c r="A12" s="54" t="s">
        <v>305</v>
      </c>
      <c r="B12" s="54"/>
      <c r="C12" s="54"/>
      <c r="D12" s="54"/>
      <c r="E12" s="54"/>
      <c r="F12" s="54"/>
      <c r="H12" s="54" t="s">
        <v>312</v>
      </c>
      <c r="I12" s="54"/>
      <c r="J12" s="54"/>
      <c r="K12" s="54"/>
      <c r="L12" s="54"/>
    </row>
    <row r="13" spans="1:12" ht="26.1" customHeight="1" x14ac:dyDescent="0.25">
      <c r="A13" s="53" t="s">
        <v>306</v>
      </c>
      <c r="B13" s="53"/>
      <c r="C13" s="53"/>
      <c r="D13" s="53"/>
      <c r="E13" s="53"/>
      <c r="F13" s="53"/>
      <c r="H13" s="56" t="s">
        <v>313</v>
      </c>
      <c r="I13" s="56"/>
      <c r="J13" s="56"/>
      <c r="K13" s="56"/>
      <c r="L13" s="56"/>
    </row>
    <row r="14" spans="1:12" ht="26.1" customHeight="1" x14ac:dyDescent="0.25">
      <c r="A14" s="54" t="s">
        <v>307</v>
      </c>
      <c r="B14" s="54"/>
      <c r="C14" s="54"/>
      <c r="D14" s="54"/>
      <c r="E14" s="54"/>
      <c r="F14" s="54"/>
      <c r="H14" s="54" t="s">
        <v>314</v>
      </c>
      <c r="I14" s="54"/>
      <c r="J14" s="54"/>
      <c r="K14" s="54"/>
      <c r="L14" s="54"/>
    </row>
    <row r="17" spans="1:12" x14ac:dyDescent="0.25">
      <c r="A17" s="57" t="s">
        <v>315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</row>
  </sheetData>
  <mergeCells count="17">
    <mergeCell ref="A17:L17"/>
    <mergeCell ref="A12:F12"/>
    <mergeCell ref="A13:F13"/>
    <mergeCell ref="A14:F14"/>
    <mergeCell ref="H8:L8"/>
    <mergeCell ref="H9:L9"/>
    <mergeCell ref="H10:L10"/>
    <mergeCell ref="H11:L11"/>
    <mergeCell ref="H12:L12"/>
    <mergeCell ref="H13:L13"/>
    <mergeCell ref="H14:L14"/>
    <mergeCell ref="A1:L3"/>
    <mergeCell ref="A5:L6"/>
    <mergeCell ref="A8:F8"/>
    <mergeCell ref="A9:F9"/>
    <mergeCell ref="A10:F10"/>
    <mergeCell ref="A11:F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F1222-E7C8-4EB8-8CDE-AB33AECED22F}">
  <sheetPr codeName="Hoja13">
    <tabColor rgb="FF1F6AA6"/>
    <pageSetUpPr fitToPage="1"/>
  </sheetPr>
  <dimension ref="A1:S17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8" customWidth="1"/>
    <col min="2" max="2" width="26.7109375" style="2" customWidth="1"/>
    <col min="3" max="4" width="18.7109375" style="2" customWidth="1"/>
    <col min="5" max="5" width="20.7109375" style="2" customWidth="1"/>
    <col min="6" max="6" width="15.7109375" style="2" customWidth="1"/>
    <col min="7" max="7" width="17.7109375" style="2" customWidth="1"/>
    <col min="8" max="8" width="16.7109375" style="2" customWidth="1"/>
    <col min="9" max="9" width="15.7109375" style="2" customWidth="1"/>
    <col min="10" max="10" width="19.7109375" style="2" customWidth="1"/>
    <col min="11" max="11" width="15.7109375" style="2" customWidth="1"/>
    <col min="12" max="13" width="18.7109375" style="2" customWidth="1"/>
    <col min="14" max="14" width="15.7109375" style="2" customWidth="1"/>
    <col min="15" max="15" width="22.7109375" style="2" customWidth="1"/>
    <col min="16" max="16" width="21.7109375" style="2" customWidth="1"/>
    <col min="17" max="17" width="18.7109375" style="2" customWidth="1"/>
    <col min="18" max="18" width="20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" t="s">
        <v>112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t="30" customHeight="1" x14ac:dyDescent="0.25">
      <c r="A2" s="4" t="s">
        <v>113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5" spans="1:19" ht="32.1" customHeight="1" x14ac:dyDescent="0.25">
      <c r="A5" s="5" t="s">
        <v>114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8.1" customHeight="1" x14ac:dyDescent="0.25"/>
    <row r="7" spans="1:19" ht="36" customHeight="1" x14ac:dyDescent="0.25">
      <c r="A7" s="19" t="s">
        <v>115</v>
      </c>
      <c r="B7" s="6" t="s">
        <v>116</v>
      </c>
      <c r="C7" s="6" t="s">
        <v>117</v>
      </c>
      <c r="D7" s="6" t="s">
        <v>118</v>
      </c>
      <c r="E7" s="6" t="s">
        <v>119</v>
      </c>
      <c r="F7" s="6" t="s">
        <v>120</v>
      </c>
      <c r="G7" s="6" t="s">
        <v>121</v>
      </c>
      <c r="H7" s="7" t="s">
        <v>122</v>
      </c>
      <c r="I7" s="6" t="s">
        <v>123</v>
      </c>
      <c r="J7" s="6" t="s">
        <v>124</v>
      </c>
      <c r="K7" s="6" t="s">
        <v>125</v>
      </c>
      <c r="L7" s="7" t="s">
        <v>126</v>
      </c>
      <c r="M7" s="7" t="s">
        <v>127</v>
      </c>
      <c r="N7" s="6" t="s">
        <v>128</v>
      </c>
      <c r="O7" s="6" t="s">
        <v>129</v>
      </c>
      <c r="P7" s="6" t="s">
        <v>130</v>
      </c>
      <c r="Q7" s="8" t="s">
        <v>131</v>
      </c>
      <c r="R7" s="6" t="s">
        <v>132</v>
      </c>
      <c r="S7" s="9" t="s">
        <v>133</v>
      </c>
    </row>
    <row r="8" spans="1:19" x14ac:dyDescent="0.25">
      <c r="A8" s="20" t="s">
        <v>134</v>
      </c>
      <c r="B8" s="10"/>
      <c r="C8" s="10"/>
      <c r="D8" s="10"/>
      <c r="E8" s="10"/>
      <c r="F8" s="10"/>
      <c r="G8" s="10"/>
      <c r="H8" s="11"/>
      <c r="I8" s="10" t="s">
        <v>104</v>
      </c>
      <c r="J8" s="10" t="s">
        <v>104</v>
      </c>
      <c r="K8" s="10" t="s">
        <v>105</v>
      </c>
      <c r="L8" s="11"/>
      <c r="M8" s="11"/>
      <c r="N8" s="10" t="s">
        <v>105</v>
      </c>
      <c r="O8" s="10"/>
      <c r="P8" s="10" t="s">
        <v>86</v>
      </c>
      <c r="Q8" s="12"/>
      <c r="R8" s="10"/>
      <c r="S8" s="13"/>
    </row>
    <row r="9" spans="1:19" x14ac:dyDescent="0.25">
      <c r="A9" s="20" t="s">
        <v>135</v>
      </c>
      <c r="B9" s="10"/>
      <c r="C9" s="10"/>
      <c r="D9" s="10"/>
      <c r="E9" s="10"/>
      <c r="F9" s="10"/>
      <c r="G9" s="10"/>
      <c r="H9" s="11"/>
      <c r="I9" s="10" t="s">
        <v>104</v>
      </c>
      <c r="J9" s="10" t="s">
        <v>104</v>
      </c>
      <c r="K9" s="10" t="s">
        <v>105</v>
      </c>
      <c r="L9" s="11"/>
      <c r="M9" s="11"/>
      <c r="N9" s="10" t="s">
        <v>105</v>
      </c>
      <c r="O9" s="10"/>
      <c r="P9" s="10" t="s">
        <v>86</v>
      </c>
      <c r="Q9" s="12"/>
      <c r="R9" s="10"/>
      <c r="S9" s="13"/>
    </row>
    <row r="10" spans="1:19" x14ac:dyDescent="0.25">
      <c r="A10" s="20" t="s">
        <v>136</v>
      </c>
      <c r="B10" s="10"/>
      <c r="C10" s="10"/>
      <c r="D10" s="10"/>
      <c r="E10" s="10"/>
      <c r="F10" s="10"/>
      <c r="G10" s="10"/>
      <c r="H10" s="11"/>
      <c r="I10" s="10" t="s">
        <v>104</v>
      </c>
      <c r="J10" s="10" t="s">
        <v>104</v>
      </c>
      <c r="K10" s="10" t="s">
        <v>105</v>
      </c>
      <c r="L10" s="11"/>
      <c r="M10" s="11"/>
      <c r="N10" s="10" t="s">
        <v>105</v>
      </c>
      <c r="O10" s="10"/>
      <c r="P10" s="10" t="s">
        <v>86</v>
      </c>
      <c r="Q10" s="12"/>
      <c r="R10" s="10"/>
      <c r="S10" s="13"/>
    </row>
    <row r="11" spans="1:19" x14ac:dyDescent="0.25">
      <c r="A11" s="20" t="s">
        <v>137</v>
      </c>
      <c r="B11" s="10"/>
      <c r="C11" s="10"/>
      <c r="D11" s="10"/>
      <c r="E11" s="10"/>
      <c r="F11" s="10"/>
      <c r="G11" s="10"/>
      <c r="H11" s="11"/>
      <c r="I11" s="10" t="s">
        <v>104</v>
      </c>
      <c r="J11" s="10" t="s">
        <v>104</v>
      </c>
      <c r="K11" s="10" t="s">
        <v>105</v>
      </c>
      <c r="L11" s="11"/>
      <c r="M11" s="11"/>
      <c r="N11" s="10" t="s">
        <v>105</v>
      </c>
      <c r="O11" s="10"/>
      <c r="P11" s="10" t="s">
        <v>86</v>
      </c>
      <c r="Q11" s="12"/>
      <c r="R11" s="10"/>
      <c r="S11" s="13"/>
    </row>
    <row r="12" spans="1:19" x14ac:dyDescent="0.25">
      <c r="A12" s="20" t="s">
        <v>138</v>
      </c>
      <c r="B12" s="10"/>
      <c r="C12" s="10"/>
      <c r="D12" s="10"/>
      <c r="E12" s="10"/>
      <c r="F12" s="10"/>
      <c r="G12" s="10"/>
      <c r="H12" s="11"/>
      <c r="I12" s="10" t="s">
        <v>104</v>
      </c>
      <c r="J12" s="10" t="s">
        <v>104</v>
      </c>
      <c r="K12" s="10" t="s">
        <v>105</v>
      </c>
      <c r="L12" s="11"/>
      <c r="M12" s="11"/>
      <c r="N12" s="10" t="s">
        <v>105</v>
      </c>
      <c r="O12" s="10"/>
      <c r="P12" s="10" t="s">
        <v>86</v>
      </c>
      <c r="Q12" s="12"/>
      <c r="R12" s="10"/>
      <c r="S12" s="13"/>
    </row>
    <row r="13" spans="1:19" x14ac:dyDescent="0.25">
      <c r="A13" s="20" t="s">
        <v>139</v>
      </c>
      <c r="B13" s="10"/>
      <c r="C13" s="10"/>
      <c r="D13" s="10"/>
      <c r="E13" s="10"/>
      <c r="F13" s="10"/>
      <c r="G13" s="10"/>
      <c r="H13" s="11"/>
      <c r="I13" s="10" t="s">
        <v>104</v>
      </c>
      <c r="J13" s="10" t="s">
        <v>104</v>
      </c>
      <c r="K13" s="10" t="s">
        <v>105</v>
      </c>
      <c r="L13" s="11"/>
      <c r="M13" s="11"/>
      <c r="N13" s="10" t="s">
        <v>105</v>
      </c>
      <c r="O13" s="10"/>
      <c r="P13" s="10" t="s">
        <v>86</v>
      </c>
      <c r="Q13" s="12"/>
      <c r="R13" s="10"/>
      <c r="S13" s="13"/>
    </row>
    <row r="14" spans="1:19" x14ac:dyDescent="0.25">
      <c r="A14" s="20" t="s">
        <v>140</v>
      </c>
      <c r="B14" s="10"/>
      <c r="C14" s="10"/>
      <c r="D14" s="10"/>
      <c r="E14" s="10"/>
      <c r="F14" s="10"/>
      <c r="G14" s="10"/>
      <c r="H14" s="11"/>
      <c r="I14" s="10" t="s">
        <v>104</v>
      </c>
      <c r="J14" s="10" t="s">
        <v>104</v>
      </c>
      <c r="K14" s="10" t="s">
        <v>105</v>
      </c>
      <c r="L14" s="11"/>
      <c r="M14" s="11"/>
      <c r="N14" s="10" t="s">
        <v>105</v>
      </c>
      <c r="O14" s="10"/>
      <c r="P14" s="10" t="s">
        <v>86</v>
      </c>
      <c r="Q14" s="12"/>
      <c r="R14" s="10"/>
      <c r="S14" s="13"/>
    </row>
    <row r="15" spans="1:19" x14ac:dyDescent="0.25">
      <c r="A15" s="20" t="s">
        <v>141</v>
      </c>
      <c r="B15" s="10"/>
      <c r="C15" s="10"/>
      <c r="D15" s="10"/>
      <c r="E15" s="10"/>
      <c r="F15" s="10"/>
      <c r="G15" s="10"/>
      <c r="H15" s="11"/>
      <c r="I15" s="10" t="s">
        <v>104</v>
      </c>
      <c r="J15" s="10" t="s">
        <v>104</v>
      </c>
      <c r="K15" s="10" t="s">
        <v>105</v>
      </c>
      <c r="L15" s="11"/>
      <c r="M15" s="11"/>
      <c r="N15" s="10" t="s">
        <v>105</v>
      </c>
      <c r="O15" s="10"/>
      <c r="P15" s="10" t="s">
        <v>86</v>
      </c>
      <c r="Q15" s="12"/>
      <c r="R15" s="10"/>
      <c r="S15" s="13"/>
    </row>
    <row r="16" spans="1:19" x14ac:dyDescent="0.25">
      <c r="A16" s="20" t="s">
        <v>142</v>
      </c>
      <c r="B16" s="10"/>
      <c r="C16" s="10"/>
      <c r="D16" s="10"/>
      <c r="E16" s="10"/>
      <c r="F16" s="10"/>
      <c r="G16" s="10"/>
      <c r="H16" s="11"/>
      <c r="I16" s="10" t="s">
        <v>104</v>
      </c>
      <c r="J16" s="10" t="s">
        <v>104</v>
      </c>
      <c r="K16" s="10" t="s">
        <v>105</v>
      </c>
      <c r="L16" s="11"/>
      <c r="M16" s="11"/>
      <c r="N16" s="10" t="s">
        <v>105</v>
      </c>
      <c r="O16" s="10"/>
      <c r="P16" s="10" t="s">
        <v>86</v>
      </c>
      <c r="Q16" s="12"/>
      <c r="R16" s="10"/>
      <c r="S16" s="13"/>
    </row>
    <row r="17" spans="1:19" x14ac:dyDescent="0.25">
      <c r="A17" s="21" t="s">
        <v>143</v>
      </c>
      <c r="B17" s="14"/>
      <c r="C17" s="14"/>
      <c r="D17" s="14"/>
      <c r="E17" s="14"/>
      <c r="F17" s="14"/>
      <c r="G17" s="14"/>
      <c r="H17" s="15"/>
      <c r="I17" s="14" t="s">
        <v>104</v>
      </c>
      <c r="J17" s="14" t="s">
        <v>104</v>
      </c>
      <c r="K17" s="14" t="s">
        <v>105</v>
      </c>
      <c r="L17" s="15"/>
      <c r="M17" s="15"/>
      <c r="N17" s="14" t="s">
        <v>105</v>
      </c>
      <c r="O17" s="14"/>
      <c r="P17" s="14" t="s">
        <v>86</v>
      </c>
      <c r="Q17" s="16"/>
      <c r="R17" s="14"/>
      <c r="S17" s="17"/>
    </row>
  </sheetData>
  <mergeCells count="3">
    <mergeCell ref="A1:S1"/>
    <mergeCell ref="A2:S2"/>
    <mergeCell ref="A5:S5"/>
  </mergeCells>
  <dataValidations count="7">
    <dataValidation type="list" allowBlank="1" showInputMessage="1" showErrorMessage="1" errorTitle="Valor no permitido" error="Selecciona un valor de la lista." sqref="F8:F17" xr:uid="{48A387AC-3F8C-49AD-B664-9405F8D2C22A}">
      <formula1>lstUnidades</formula1>
    </dataValidation>
    <dataValidation type="list" allowBlank="1" showInputMessage="1" showErrorMessage="1" errorTitle="Valor no permitido" error="Selecciona un valor de la lista." sqref="K8:K17" xr:uid="{2A0B85AE-BC0D-47AE-B405-EC8731BFEB43}">
      <formula1>lstSiNo</formula1>
    </dataValidation>
    <dataValidation type="list" allowBlank="1" showInputMessage="1" showErrorMessage="1" errorTitle="Valor no permitido" error="Selecciona un valor de la lista." sqref="G8:G17" xr:uid="{DD8DA8FE-BAE6-41AA-8534-A9FDFF4C073D}">
      <formula1>lstUnidades</formula1>
    </dataValidation>
    <dataValidation type="list" allowBlank="1" showInputMessage="1" showErrorMessage="1" errorTitle="Valor no permitido" error="Selecciona un valor de la lista." sqref="I8:I17" xr:uid="{8554F216-9AB3-42D1-85A4-14B89898961C}">
      <formula1>lstSiNo</formula1>
    </dataValidation>
    <dataValidation type="list" allowBlank="1" showInputMessage="1" showErrorMessage="1" errorTitle="Valor no permitido" error="Selecciona un valor de la lista." sqref="N8:N17" xr:uid="{1CE3FED6-0304-4683-AAE5-F829A635D2F9}">
      <formula1>lstSiNo</formula1>
    </dataValidation>
    <dataValidation type="list" allowBlank="1" showInputMessage="1" showErrorMessage="1" errorTitle="Valor no permitido" error="Selecciona un valor de la lista." sqref="P8:P17" xr:uid="{20360E20-A041-4C88-9CF7-58B8FAD27CFD}">
      <formula1>lstEstadosRegistro</formula1>
    </dataValidation>
    <dataValidation type="list" allowBlank="1" showInputMessage="1" showErrorMessage="1" errorTitle="Valor no permitido" error="Selecciona un valor de la lista." sqref="J8:J17" xr:uid="{E37B2742-153D-4CC4-8983-9523B3B65E2A}">
      <formula1>lstSiNo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94004-6A48-49AA-98D1-8C75D78D1BAC}">
  <sheetPr codeName="Hoja12">
    <tabColor rgb="FF1F6AA6"/>
    <pageSetUpPr fitToPage="1"/>
  </sheetPr>
  <dimension ref="A1:K14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23.7109375" style="2" customWidth="1"/>
    <col min="3" max="7" width="18.7109375" style="2" customWidth="1"/>
    <col min="8" max="8" width="15.7109375" style="2" customWidth="1"/>
    <col min="9" max="9" width="21.7109375" style="2" customWidth="1"/>
    <col min="10" max="10" width="20.7109375" style="2" customWidth="1"/>
    <col min="11" max="11" width="32.7109375" style="2" customWidth="1"/>
    <col min="12" max="16384" width="11.42578125" style="2"/>
  </cols>
  <sheetData>
    <row r="1" spans="1:11" ht="36" customHeight="1" x14ac:dyDescent="0.25">
      <c r="A1" s="3" t="s">
        <v>144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30" customHeight="1" x14ac:dyDescent="0.25">
      <c r="A2" s="4" t="s">
        <v>145</v>
      </c>
      <c r="B2" s="4"/>
      <c r="C2" s="4"/>
      <c r="D2" s="4"/>
      <c r="E2" s="4"/>
      <c r="F2" s="4"/>
      <c r="G2" s="4"/>
      <c r="H2" s="4"/>
      <c r="I2" s="4"/>
      <c r="J2" s="4"/>
      <c r="K2" s="4"/>
    </row>
    <row r="5" spans="1:11" ht="32.1" customHeight="1" x14ac:dyDescent="0.25">
      <c r="A5" s="5" t="s">
        <v>146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ht="8.1" customHeight="1" x14ac:dyDescent="0.25"/>
    <row r="7" spans="1:11" ht="36" customHeight="1" x14ac:dyDescent="0.25">
      <c r="A7" s="19" t="s">
        <v>147</v>
      </c>
      <c r="B7" s="6" t="s">
        <v>148</v>
      </c>
      <c r="C7" s="6" t="s">
        <v>149</v>
      </c>
      <c r="D7" s="6" t="s">
        <v>150</v>
      </c>
      <c r="E7" s="6" t="s">
        <v>151</v>
      </c>
      <c r="F7" s="6" t="s">
        <v>152</v>
      </c>
      <c r="G7" s="6" t="s">
        <v>153</v>
      </c>
      <c r="H7" s="6" t="s">
        <v>154</v>
      </c>
      <c r="I7" s="6" t="s">
        <v>130</v>
      </c>
      <c r="J7" s="6" t="s">
        <v>132</v>
      </c>
      <c r="K7" s="9" t="s">
        <v>133</v>
      </c>
    </row>
    <row r="8" spans="1:11" x14ac:dyDescent="0.25">
      <c r="A8" s="20" t="s">
        <v>155</v>
      </c>
      <c r="B8" s="10" t="s">
        <v>1</v>
      </c>
      <c r="C8" s="10" t="s">
        <v>156</v>
      </c>
      <c r="D8" s="10"/>
      <c r="E8" s="10"/>
      <c r="F8" s="10" t="s">
        <v>157</v>
      </c>
      <c r="G8" s="10" t="s">
        <v>104</v>
      </c>
      <c r="H8" s="10" t="s">
        <v>105</v>
      </c>
      <c r="I8" s="10" t="s">
        <v>49</v>
      </c>
      <c r="J8" s="10"/>
      <c r="K8" s="13"/>
    </row>
    <row r="9" spans="1:11" x14ac:dyDescent="0.25">
      <c r="A9" s="20" t="s">
        <v>158</v>
      </c>
      <c r="B9" s="10" t="s">
        <v>1</v>
      </c>
      <c r="C9" s="10" t="s">
        <v>159</v>
      </c>
      <c r="D9" s="10"/>
      <c r="E9" s="10"/>
      <c r="F9" s="10" t="s">
        <v>160</v>
      </c>
      <c r="G9" s="10" t="s">
        <v>104</v>
      </c>
      <c r="H9" s="10" t="s">
        <v>105</v>
      </c>
      <c r="I9" s="10" t="s">
        <v>49</v>
      </c>
      <c r="J9" s="10"/>
      <c r="K9" s="13"/>
    </row>
    <row r="10" spans="1:11" x14ac:dyDescent="0.25">
      <c r="A10" s="20" t="s">
        <v>161</v>
      </c>
      <c r="B10" s="10" t="s">
        <v>1</v>
      </c>
      <c r="C10" s="10" t="s">
        <v>162</v>
      </c>
      <c r="D10" s="10"/>
      <c r="E10" s="10"/>
      <c r="F10" s="10" t="s">
        <v>163</v>
      </c>
      <c r="G10" s="10" t="s">
        <v>104</v>
      </c>
      <c r="H10" s="10" t="s">
        <v>105</v>
      </c>
      <c r="I10" s="10" t="s">
        <v>49</v>
      </c>
      <c r="J10" s="10"/>
      <c r="K10" s="13"/>
    </row>
    <row r="11" spans="1:11" x14ac:dyDescent="0.25">
      <c r="A11" s="20" t="s">
        <v>164</v>
      </c>
      <c r="B11" s="10" t="s">
        <v>1</v>
      </c>
      <c r="C11" s="10" t="s">
        <v>165</v>
      </c>
      <c r="D11" s="10"/>
      <c r="E11" s="10"/>
      <c r="F11" s="10" t="s">
        <v>166</v>
      </c>
      <c r="G11" s="10" t="s">
        <v>104</v>
      </c>
      <c r="H11" s="10" t="s">
        <v>105</v>
      </c>
      <c r="I11" s="10" t="s">
        <v>49</v>
      </c>
      <c r="J11" s="10"/>
      <c r="K11" s="13"/>
    </row>
    <row r="12" spans="1:11" x14ac:dyDescent="0.25">
      <c r="A12" s="20" t="s">
        <v>167</v>
      </c>
      <c r="B12" s="10" t="s">
        <v>2</v>
      </c>
      <c r="C12" s="10" t="s">
        <v>159</v>
      </c>
      <c r="D12" s="10"/>
      <c r="E12" s="10"/>
      <c r="F12" s="10" t="s">
        <v>168</v>
      </c>
      <c r="G12" s="10" t="s">
        <v>104</v>
      </c>
      <c r="H12" s="10" t="s">
        <v>105</v>
      </c>
      <c r="I12" s="10" t="s">
        <v>49</v>
      </c>
      <c r="J12" s="10"/>
      <c r="K12" s="13"/>
    </row>
    <row r="13" spans="1:11" x14ac:dyDescent="0.25">
      <c r="A13" s="20" t="s">
        <v>169</v>
      </c>
      <c r="B13" s="10" t="s">
        <v>3</v>
      </c>
      <c r="C13" s="10" t="s">
        <v>159</v>
      </c>
      <c r="D13" s="10"/>
      <c r="E13" s="10"/>
      <c r="F13" s="10" t="s">
        <v>168</v>
      </c>
      <c r="G13" s="10" t="s">
        <v>104</v>
      </c>
      <c r="H13" s="10" t="s">
        <v>105</v>
      </c>
      <c r="I13" s="10" t="s">
        <v>49</v>
      </c>
      <c r="J13" s="10"/>
      <c r="K13" s="13"/>
    </row>
    <row r="14" spans="1:11" x14ac:dyDescent="0.25">
      <c r="A14" s="21" t="s">
        <v>170</v>
      </c>
      <c r="B14" s="14" t="s">
        <v>4</v>
      </c>
      <c r="C14" s="14" t="s">
        <v>159</v>
      </c>
      <c r="D14" s="14"/>
      <c r="E14" s="14"/>
      <c r="F14" s="14" t="s">
        <v>168</v>
      </c>
      <c r="G14" s="14" t="s">
        <v>104</v>
      </c>
      <c r="H14" s="14" t="s">
        <v>105</v>
      </c>
      <c r="I14" s="14" t="s">
        <v>49</v>
      </c>
      <c r="J14" s="14"/>
      <c r="K14" s="17"/>
    </row>
  </sheetData>
  <mergeCells count="3">
    <mergeCell ref="A1:K1"/>
    <mergeCell ref="A2:K2"/>
    <mergeCell ref="A5:K5"/>
  </mergeCells>
  <dataValidations count="4">
    <dataValidation type="list" allowBlank="1" showInputMessage="1" showErrorMessage="1" errorTitle="Valor no permitido" error="Selecciona un valor de la lista." sqref="H8:H14" xr:uid="{C7DF76D7-D1CA-4737-B9DC-73C2D5C22808}">
      <formula1>lstSiNo</formula1>
    </dataValidation>
    <dataValidation type="list" allowBlank="1" showInputMessage="1" showErrorMessage="1" errorTitle="Valor no permitido" error="Selecciona un valor de la lista." sqref="G8:G14" xr:uid="{590801F0-FC5A-4B9B-9E04-22F1B122C891}">
      <formula1>lstSiNo</formula1>
    </dataValidation>
    <dataValidation type="list" allowBlank="1" showInputMessage="1" showErrorMessage="1" errorTitle="Valor no permitido" error="Selecciona un valor de la lista." sqref="I8:I14" xr:uid="{6785B282-D04D-495E-AF96-3EE86A98752D}">
      <formula1>lstEstadosRegistro</formula1>
    </dataValidation>
    <dataValidation type="list" allowBlank="1" showInputMessage="1" showErrorMessage="1" errorTitle="Valor no permitido" error="Selecciona un valor de la lista." sqref="B8:B14" xr:uid="{5239F041-EB5E-451D-AF85-25267D106E11}">
      <formula1>lstSedes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3F92-5C6A-494F-9101-1384170CBB9D}">
  <sheetPr codeName="Hoja11">
    <tabColor rgb="FF148480"/>
    <pageSetUpPr fitToPage="1"/>
  </sheetPr>
  <dimension ref="A1:P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8" customWidth="1"/>
    <col min="2" max="2" width="19.7109375" style="2" customWidth="1"/>
    <col min="3" max="5" width="20.7109375" style="2" customWidth="1"/>
    <col min="6" max="6" width="13.7109375" style="2" customWidth="1"/>
    <col min="7" max="7" width="20.7109375" style="2" customWidth="1"/>
    <col min="8" max="8" width="19.7109375" style="2" customWidth="1"/>
    <col min="9" max="9" width="18.7109375" style="2" customWidth="1"/>
    <col min="10" max="10" width="13.7109375" style="2" customWidth="1"/>
    <col min="11" max="12" width="18.7109375" style="2" customWidth="1"/>
    <col min="13" max="13" width="15.7109375" style="2" customWidth="1"/>
    <col min="14" max="14" width="18.7109375" style="2" customWidth="1"/>
    <col min="15" max="15" width="23.7109375" style="2" customWidth="1"/>
    <col min="16" max="16" width="32.7109375" style="2" customWidth="1"/>
    <col min="17" max="16384" width="11.42578125" style="2"/>
  </cols>
  <sheetData>
    <row r="1" spans="1:16" ht="36" customHeight="1" x14ac:dyDescent="0.25">
      <c r="A1" s="3" t="s">
        <v>171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30" customHeight="1" x14ac:dyDescent="0.25">
      <c r="A2" s="4" t="s">
        <v>172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5" spans="1:16" ht="32.1" customHeight="1" x14ac:dyDescent="0.25">
      <c r="A5" s="5" t="s">
        <v>173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16" ht="8.1" customHeight="1" x14ac:dyDescent="0.25"/>
    <row r="7" spans="1:16" ht="36" customHeight="1" x14ac:dyDescent="0.25">
      <c r="A7" s="19" t="s">
        <v>174</v>
      </c>
      <c r="B7" s="8" t="s">
        <v>175</v>
      </c>
      <c r="C7" s="6" t="s">
        <v>176</v>
      </c>
      <c r="D7" s="6" t="s">
        <v>177</v>
      </c>
      <c r="E7" s="6" t="s">
        <v>178</v>
      </c>
      <c r="F7" s="6" t="s">
        <v>179</v>
      </c>
      <c r="G7" s="6" t="s">
        <v>180</v>
      </c>
      <c r="H7" s="6" t="s">
        <v>115</v>
      </c>
      <c r="I7" s="6" t="s">
        <v>119</v>
      </c>
      <c r="J7" s="6" t="s">
        <v>23</v>
      </c>
      <c r="K7" s="7" t="s">
        <v>181</v>
      </c>
      <c r="L7" s="7" t="s">
        <v>182</v>
      </c>
      <c r="M7" s="22" t="s">
        <v>183</v>
      </c>
      <c r="N7" s="8" t="s">
        <v>184</v>
      </c>
      <c r="O7" s="6" t="s">
        <v>185</v>
      </c>
      <c r="P7" s="9" t="s">
        <v>133</v>
      </c>
    </row>
    <row r="8" spans="1:16" x14ac:dyDescent="0.25">
      <c r="A8" s="21"/>
      <c r="B8" s="16"/>
      <c r="C8" s="14"/>
      <c r="D8" s="14"/>
      <c r="E8" s="14"/>
      <c r="F8" s="14"/>
      <c r="G8" s="14"/>
      <c r="H8" s="14"/>
      <c r="I8" s="14"/>
      <c r="J8" s="14"/>
      <c r="K8" s="15"/>
      <c r="L8" s="15"/>
      <c r="M8" s="23" t="str">
        <f>IF(OR(K8="",L8=""),"",IFERROR(L8/K8,0))</f>
        <v/>
      </c>
      <c r="N8" s="16"/>
      <c r="O8" s="14"/>
      <c r="P8" s="17"/>
    </row>
  </sheetData>
  <mergeCells count="3">
    <mergeCell ref="A1:P1"/>
    <mergeCell ref="A2:P2"/>
    <mergeCell ref="A5:P5"/>
  </mergeCells>
  <dataValidations count="6">
    <dataValidation type="list" allowBlank="1" showInputMessage="1" showErrorMessage="1" errorTitle="Valor no permitido" error="Selecciona un valor de la lista." sqref="E8" xr:uid="{28C8FB9C-F2C4-4A37-8F74-AC22805DBD49}">
      <formula1>lstUbicaciones</formula1>
    </dataValidation>
    <dataValidation type="list" allowBlank="1" showInputMessage="1" showErrorMessage="1" errorTitle="Valor no permitido" error="Selecciona un valor de la lista." sqref="F8" xr:uid="{87560D2F-18A8-46B3-84B5-E8B421AC77F3}">
      <formula1>lstPrioridades</formula1>
    </dataValidation>
    <dataValidation type="list" allowBlank="1" showInputMessage="1" showErrorMessage="1" errorTitle="Valor no permitido" error="Selecciona un valor de la lista." sqref="H8" xr:uid="{96275F01-B69B-46A6-BC5C-DD3D228AEDEB}">
      <formula1>lstProductos</formula1>
    </dataValidation>
    <dataValidation type="list" allowBlank="1" showInputMessage="1" showErrorMessage="1" errorTitle="Valor no permitido" error="Selecciona un valor de la lista." sqref="G8" xr:uid="{82792926-DE7C-4D44-95F9-D2523595D527}">
      <formula1>lstEstadosSolicitud</formula1>
    </dataValidation>
    <dataValidation type="list" allowBlank="1" showInputMessage="1" showErrorMessage="1" errorTitle="Valor no permitido" error="Selecciona un valor de la lista." sqref="D8" xr:uid="{C4A37672-2FCD-482F-915A-EDE7EA38B0AE}">
      <formula1>lstUbicaciones</formula1>
    </dataValidation>
    <dataValidation type="list" allowBlank="1" showInputMessage="1" showErrorMessage="1" errorTitle="Valor no permitido" error="Selecciona un valor de la lista." sqref="J8" xr:uid="{FC809611-6099-4138-87A8-636D27CD6DAD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6291-5DA8-4671-97CE-A01765DEC14E}">
  <sheetPr codeName="Hoja10">
    <tabColor rgb="FF148480"/>
    <pageSetUpPr fitToPage="1"/>
  </sheetPr>
  <dimension ref="A1:W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18.7109375" style="2" customWidth="1"/>
    <col min="3" max="3" width="19.7109375" style="2" customWidth="1"/>
    <col min="4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8.7109375" style="2" customWidth="1"/>
    <col min="11" max="11" width="13.7109375" style="2" customWidth="1"/>
    <col min="12" max="14" width="18.7109375" style="2" customWidth="1"/>
    <col min="15" max="15" width="17.7109375" style="2" customWidth="1"/>
    <col min="16" max="16" width="19.7109375" style="2" customWidth="1"/>
    <col min="17" max="17" width="18.7109375" style="2" customWidth="1"/>
    <col min="18" max="18" width="20.7109375" style="2" customWidth="1"/>
    <col min="19" max="19" width="16.7109375" style="2" customWidth="1"/>
    <col min="20" max="21" width="20.7109375" style="2" customWidth="1"/>
    <col min="22" max="22" width="28.7109375" style="2" customWidth="1"/>
    <col min="23" max="23" width="32.7109375" style="2" customWidth="1"/>
    <col min="24" max="16384" width="11.42578125" style="2"/>
  </cols>
  <sheetData>
    <row r="1" spans="1:23" ht="36" customHeight="1" x14ac:dyDescent="0.25">
      <c r="A1" s="3" t="s">
        <v>186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30" customHeight="1" x14ac:dyDescent="0.25">
      <c r="A2" s="4" t="s">
        <v>187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5" spans="1:23" ht="32.1" customHeight="1" x14ac:dyDescent="0.25">
      <c r="A5" s="5" t="s">
        <v>188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8.1" customHeight="1" x14ac:dyDescent="0.25"/>
    <row r="7" spans="1:23" ht="36" customHeight="1" x14ac:dyDescent="0.25">
      <c r="A7" s="19" t="s">
        <v>189</v>
      </c>
      <c r="B7" s="6" t="s">
        <v>174</v>
      </c>
      <c r="C7" s="8" t="s">
        <v>190</v>
      </c>
      <c r="D7" s="6" t="s">
        <v>177</v>
      </c>
      <c r="E7" s="6" t="s">
        <v>178</v>
      </c>
      <c r="F7" s="6" t="s">
        <v>180</v>
      </c>
      <c r="G7" s="6" t="s">
        <v>115</v>
      </c>
      <c r="H7" s="6" t="s">
        <v>119</v>
      </c>
      <c r="I7" s="6" t="s">
        <v>191</v>
      </c>
      <c r="J7" s="8" t="s">
        <v>192</v>
      </c>
      <c r="K7" s="6" t="s">
        <v>23</v>
      </c>
      <c r="L7" s="7" t="s">
        <v>181</v>
      </c>
      <c r="M7" s="7" t="s">
        <v>182</v>
      </c>
      <c r="N7" s="7" t="s">
        <v>193</v>
      </c>
      <c r="O7" s="7" t="s">
        <v>194</v>
      </c>
      <c r="P7" s="7" t="s">
        <v>195</v>
      </c>
      <c r="Q7" s="7" t="s">
        <v>196</v>
      </c>
      <c r="R7" s="7" t="s">
        <v>197</v>
      </c>
      <c r="S7" s="22" t="s">
        <v>198</v>
      </c>
      <c r="T7" s="6" t="s">
        <v>199</v>
      </c>
      <c r="U7" s="6" t="s">
        <v>200</v>
      </c>
      <c r="V7" s="6" t="s">
        <v>201</v>
      </c>
      <c r="W7" s="9" t="s">
        <v>133</v>
      </c>
    </row>
    <row r="8" spans="1:23" x14ac:dyDescent="0.25">
      <c r="A8" s="21"/>
      <c r="B8" s="14"/>
      <c r="C8" s="16"/>
      <c r="D8" s="14"/>
      <c r="E8" s="14"/>
      <c r="F8" s="14"/>
      <c r="G8" s="14"/>
      <c r="H8" s="14"/>
      <c r="I8" s="14"/>
      <c r="J8" s="16"/>
      <c r="K8" s="14"/>
      <c r="L8" s="15"/>
      <c r="M8" s="15"/>
      <c r="N8" s="15"/>
      <c r="O8" s="15"/>
      <c r="P8" s="15"/>
      <c r="Q8" s="24" t="str">
        <f>IF(OR(A8="",G8=""),"",SUMIFS('[1]05_RECEPCIONES'!$I$8:$I$200,'[1]05_RECEPCIONES'!$B$8:$B$200,A8,'[1]05_RECEPCIONES'!$F$8:$F$200,G8,'[1]05_RECEPCIONES'!$G$8:$G$200,I8))</f>
        <v/>
      </c>
      <c r="R8" s="24" t="str">
        <f>IF(OR(P8="",Q8=""),"",Q8-P8)</f>
        <v/>
      </c>
      <c r="S8" s="23" t="str">
        <f>IF(OR(P8="",Q8=""),"",IFERROR(Q8/P8,0))</f>
        <v/>
      </c>
      <c r="T8" s="14"/>
      <c r="U8" s="14"/>
      <c r="V8" s="14"/>
      <c r="W8" s="17"/>
    </row>
  </sheetData>
  <mergeCells count="3">
    <mergeCell ref="A1:W1"/>
    <mergeCell ref="A2:W2"/>
    <mergeCell ref="A5:W5"/>
  </mergeCells>
  <dataValidations count="5">
    <dataValidation type="list" allowBlank="1" showInputMessage="1" showErrorMessage="1" errorTitle="Valor no permitido" error="Selecciona un valor de la lista." sqref="F8" xr:uid="{F90BF2CB-3A3E-476E-9223-65B83CEBF17A}">
      <formula1>lstEstadosRemision</formula1>
    </dataValidation>
    <dataValidation type="list" allowBlank="1" showInputMessage="1" showErrorMessage="1" errorTitle="Valor no permitido" error="Selecciona un valor de la lista." sqref="G8" xr:uid="{48AB5156-1B58-4E3B-A0C7-69EA078F72CF}">
      <formula1>lstProductos</formula1>
    </dataValidation>
    <dataValidation type="list" allowBlank="1" showInputMessage="1" showErrorMessage="1" errorTitle="Valor no permitido" error="Selecciona un valor de la lista." sqref="D8" xr:uid="{0B9CE129-1C4B-4F30-885D-395A3C3CB809}">
      <formula1>lstUbicaciones</formula1>
    </dataValidation>
    <dataValidation type="list" allowBlank="1" showInputMessage="1" showErrorMessage="1" errorTitle="Valor no permitido" error="Selecciona un valor de la lista." sqref="K8" xr:uid="{225600E2-3473-4B5A-AB6D-4630ECF563DF}">
      <formula1>lstUnidades</formula1>
    </dataValidation>
    <dataValidation type="list" allowBlank="1" showInputMessage="1" showErrorMessage="1" errorTitle="Valor no permitido" error="Selecciona un valor de la lista." sqref="E8" xr:uid="{2C4D3F0A-E507-49A7-9FF3-0E2306644A23}">
      <formula1>lstUbicaciones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29074-01AA-49F7-A315-050FADDBF3BE}">
  <sheetPr codeName="Hoja9">
    <tabColor rgb="FF148480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18.7109375" style="2" customWidth="1"/>
    <col min="3" max="3" width="19.7109375" style="2" customWidth="1"/>
    <col min="4" max="4" width="20.7109375" style="2" customWidth="1"/>
    <col min="5" max="5" width="18.7109375" style="2" customWidth="1"/>
    <col min="6" max="6" width="19.7109375" style="2" customWidth="1"/>
    <col min="7" max="7" width="16.7109375" style="2" customWidth="1"/>
    <col min="8" max="8" width="13.7109375" style="2" customWidth="1"/>
    <col min="9" max="10" width="18.7109375" style="2" customWidth="1"/>
    <col min="11" max="11" width="21.7109375" style="2" customWidth="1"/>
    <col min="12" max="12" width="15.7109375" style="2" customWidth="1"/>
    <col min="13" max="13" width="22.7109375" style="2" customWidth="1"/>
    <col min="14" max="14" width="18.7109375" style="2" customWidth="1"/>
    <col min="15" max="15" width="20.7109375" style="2" customWidth="1"/>
    <col min="16" max="16" width="2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" t="s">
        <v>202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30" customHeight="1" x14ac:dyDescent="0.25">
      <c r="A2" s="4" t="s">
        <v>203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5" spans="1:17" ht="32.1" customHeight="1" x14ac:dyDescent="0.25">
      <c r="A5" s="5" t="s">
        <v>204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8.1" customHeight="1" x14ac:dyDescent="0.25"/>
    <row r="7" spans="1:17" ht="36" customHeight="1" x14ac:dyDescent="0.25">
      <c r="A7" s="19" t="s">
        <v>205</v>
      </c>
      <c r="B7" s="6" t="s">
        <v>189</v>
      </c>
      <c r="C7" s="8" t="s">
        <v>206</v>
      </c>
      <c r="D7" s="6" t="s">
        <v>178</v>
      </c>
      <c r="E7" s="6" t="s">
        <v>207</v>
      </c>
      <c r="F7" s="6" t="s">
        <v>115</v>
      </c>
      <c r="G7" s="6" t="s">
        <v>191</v>
      </c>
      <c r="H7" s="6" t="s">
        <v>23</v>
      </c>
      <c r="I7" s="7" t="s">
        <v>196</v>
      </c>
      <c r="J7" s="7" t="s">
        <v>208</v>
      </c>
      <c r="K7" s="7" t="s">
        <v>209</v>
      </c>
      <c r="L7" s="7" t="s">
        <v>210</v>
      </c>
      <c r="M7" s="6" t="s">
        <v>211</v>
      </c>
      <c r="N7" s="6" t="s">
        <v>212</v>
      </c>
      <c r="O7" s="6" t="s">
        <v>132</v>
      </c>
      <c r="P7" s="6" t="s">
        <v>201</v>
      </c>
      <c r="Q7" s="9" t="s">
        <v>133</v>
      </c>
    </row>
    <row r="8" spans="1:17" x14ac:dyDescent="0.25">
      <c r="A8" s="21"/>
      <c r="B8" s="14"/>
      <c r="C8" s="16"/>
      <c r="D8" s="14"/>
      <c r="E8" s="14"/>
      <c r="F8" s="14"/>
      <c r="G8" s="14"/>
      <c r="H8" s="14"/>
      <c r="I8" s="15"/>
      <c r="J8" s="15"/>
      <c r="K8" s="15"/>
      <c r="L8" s="15"/>
      <c r="M8" s="14"/>
      <c r="N8" s="14"/>
      <c r="O8" s="14"/>
      <c r="P8" s="14"/>
      <c r="Q8" s="17"/>
    </row>
  </sheetData>
  <mergeCells count="3">
    <mergeCell ref="A1:Q1"/>
    <mergeCell ref="A2:Q2"/>
    <mergeCell ref="A5:Q5"/>
  </mergeCells>
  <dataValidations count="6">
    <dataValidation type="list" allowBlank="1" showInputMessage="1" showErrorMessage="1" errorTitle="Valor no permitido" error="Selecciona un valor de la lista." sqref="E8" xr:uid="{EBCC7DE3-44AF-4008-98CD-1B4147894C07}">
      <formula1>lstMetodosRecepcion</formula1>
    </dataValidation>
    <dataValidation type="list" allowBlank="1" showInputMessage="1" showErrorMessage="1" errorTitle="Valor no permitido" error="Selecciona un valor de la lista." sqref="F8" xr:uid="{999C9821-0DAE-47DF-8C4B-467E2289607A}">
      <formula1>lstProductos</formula1>
    </dataValidation>
    <dataValidation type="list" allowBlank="1" showInputMessage="1" showErrorMessage="1" errorTitle="Valor no permitido" error="Selecciona un valor de la lista." sqref="M8" xr:uid="{CDD8B2E9-101E-472A-93C2-A464BACDAAF2}">
      <formula1>lstCondiciones</formula1>
    </dataValidation>
    <dataValidation type="list" allowBlank="1" showInputMessage="1" showErrorMessage="1" errorTitle="Valor no permitido" error="Selecciona un valor de la lista." sqref="N8" xr:uid="{A3499F87-2BF2-41CE-8C6C-CB36B1C6410F}">
      <formula1>lstDecisiones</formula1>
    </dataValidation>
    <dataValidation type="list" allowBlank="1" showInputMessage="1" showErrorMessage="1" errorTitle="Valor no permitido" error="Selecciona un valor de la lista." sqref="D8" xr:uid="{284ABB04-87F2-4AE5-94A5-24C458C0D374}">
      <formula1>lstUbicaciones</formula1>
    </dataValidation>
    <dataValidation type="list" allowBlank="1" showInputMessage="1" showErrorMessage="1" errorTitle="Valor no permitido" error="Selecciona un valor de la lista." sqref="H8" xr:uid="{83021468-D45C-4D13-8A75-26C62B5900D0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9B60-C58C-4561-A46E-B05F3CE7E541}">
  <sheetPr codeName="Hoja8">
    <tabColor rgb="FFE67E22"/>
    <pageSetUpPr fitToPage="1"/>
  </sheetPr>
  <dimension ref="A1:R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0.7109375" style="18" customWidth="1"/>
    <col min="2" max="2" width="19.7109375" style="2" customWidth="1"/>
    <col min="3" max="3" width="22.7109375" style="2" customWidth="1"/>
    <col min="4" max="4" width="19.7109375" style="2" customWidth="1"/>
    <col min="5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3.7109375" style="2" customWidth="1"/>
    <col min="11" max="11" width="25.7109375" style="2" customWidth="1"/>
    <col min="12" max="12" width="18.7109375" style="2" customWidth="1"/>
    <col min="13" max="13" width="15.7109375" style="2" customWidth="1"/>
    <col min="14" max="14" width="30.7109375" style="2" customWidth="1"/>
    <col min="15" max="15" width="21.7109375" style="2" customWidth="1"/>
    <col min="16" max="16" width="18.7109375" style="2" customWidth="1"/>
    <col min="17" max="17" width="28.7109375" style="2" customWidth="1"/>
    <col min="18" max="18" width="32.7109375" style="2" customWidth="1"/>
    <col min="19" max="16384" width="11.42578125" style="2"/>
  </cols>
  <sheetData>
    <row r="1" spans="1:18" ht="36" customHeight="1" x14ac:dyDescent="0.25">
      <c r="A1" s="3" t="s">
        <v>213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30" customHeight="1" x14ac:dyDescent="0.25">
      <c r="A2" s="4" t="s">
        <v>214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5" spans="1:18" ht="32.1" customHeight="1" x14ac:dyDescent="0.25">
      <c r="A5" s="5" t="s">
        <v>215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ht="8.1" customHeight="1" x14ac:dyDescent="0.25"/>
    <row r="7" spans="1:18" ht="36" customHeight="1" x14ac:dyDescent="0.25">
      <c r="A7" s="19" t="s">
        <v>216</v>
      </c>
      <c r="B7" s="8" t="s">
        <v>217</v>
      </c>
      <c r="C7" s="6" t="s">
        <v>148</v>
      </c>
      <c r="D7" s="6" t="s">
        <v>147</v>
      </c>
      <c r="E7" s="6" t="s">
        <v>132</v>
      </c>
      <c r="F7" s="6" t="s">
        <v>218</v>
      </c>
      <c r="G7" s="6" t="s">
        <v>115</v>
      </c>
      <c r="H7" s="6" t="s">
        <v>119</v>
      </c>
      <c r="I7" s="6" t="s">
        <v>191</v>
      </c>
      <c r="J7" s="6" t="s">
        <v>23</v>
      </c>
      <c r="K7" s="7" t="s">
        <v>219</v>
      </c>
      <c r="L7" s="7" t="s">
        <v>220</v>
      </c>
      <c r="M7" s="7" t="s">
        <v>221</v>
      </c>
      <c r="N7" s="6" t="s">
        <v>222</v>
      </c>
      <c r="O7" s="6" t="s">
        <v>223</v>
      </c>
      <c r="P7" s="6" t="s">
        <v>180</v>
      </c>
      <c r="Q7" s="6" t="s">
        <v>201</v>
      </c>
      <c r="R7" s="9" t="s">
        <v>133</v>
      </c>
    </row>
    <row r="8" spans="1:18" x14ac:dyDescent="0.25">
      <c r="A8" s="21"/>
      <c r="B8" s="16"/>
      <c r="C8" s="14"/>
      <c r="D8" s="14"/>
      <c r="E8" s="14"/>
      <c r="F8" s="14"/>
      <c r="G8" s="14"/>
      <c r="H8" s="14"/>
      <c r="I8" s="14"/>
      <c r="J8" s="14"/>
      <c r="K8" s="15"/>
      <c r="L8" s="15"/>
      <c r="M8" s="24" t="str">
        <f>IF(OR(K8="",L8=""),"",L8-K8)</f>
        <v/>
      </c>
      <c r="N8" s="14"/>
      <c r="O8" s="14"/>
      <c r="P8" s="14"/>
      <c r="Q8" s="14"/>
      <c r="R8" s="17"/>
    </row>
  </sheetData>
  <mergeCells count="3">
    <mergeCell ref="A1:R1"/>
    <mergeCell ref="A2:R2"/>
    <mergeCell ref="A5:R5"/>
  </mergeCells>
  <dataValidations count="6">
    <dataValidation type="list" allowBlank="1" showInputMessage="1" showErrorMessage="1" errorTitle="Valor no permitido" error="Selecciona un valor de la lista." sqref="J8" xr:uid="{536F81ED-0A33-44A2-A2EA-A48F58F129AE}">
      <formula1>lstUnidades</formula1>
    </dataValidation>
    <dataValidation type="list" allowBlank="1" showInputMessage="1" showErrorMessage="1" errorTitle="Valor no permitido" error="Selecciona un valor de la lista." sqref="G8" xr:uid="{D0E3099F-D912-44A0-9CB0-29DC6569B57F}">
      <formula1>lstProductos</formula1>
    </dataValidation>
    <dataValidation type="list" allowBlank="1" showInputMessage="1" showErrorMessage="1" errorTitle="Valor no permitido" error="Selecciona un valor de la lista." sqref="P8" xr:uid="{6916F97F-3DEC-40C0-867E-51A64DBF3C28}">
      <formula1>lstEstadosOperacion</formula1>
    </dataValidation>
    <dataValidation type="list" allowBlank="1" showInputMessage="1" showErrorMessage="1" errorTitle="Valor no permitido" error="Selecciona un valor de la lista." sqref="D8" xr:uid="{56CA8158-E5B7-4FBA-A226-A600970BFFE6}">
      <formula1>lstUbicaciones</formula1>
    </dataValidation>
    <dataValidation type="list" allowBlank="1" showInputMessage="1" showErrorMessage="1" errorTitle="Valor no permitido" error="Selecciona un valor de la lista." sqref="C8" xr:uid="{DBAE6210-D44F-4EF9-8F26-6AB7E2C0E8F6}">
      <formula1>lstSedes</formula1>
    </dataValidation>
    <dataValidation type="list" allowBlank="1" showInputMessage="1" showErrorMessage="1" errorTitle="Valor no permitido" error="Selecciona un valor de la lista." sqref="F8" xr:uid="{187A2C24-B47B-4830-8C6F-423749081322}">
      <formula1>lstMetodosConteo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D432-BCD4-400D-866A-810598DE899C}">
  <sheetPr codeName="Hoja7">
    <tabColor rgb="FFE67E22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8" customWidth="1"/>
    <col min="2" max="2" width="19.7109375" style="2" customWidth="1"/>
    <col min="3" max="3" width="21.7109375" style="2" customWidth="1"/>
    <col min="4" max="5" width="20.7109375" style="2" customWidth="1"/>
    <col min="6" max="6" width="19.7109375" style="2" customWidth="1"/>
    <col min="7" max="7" width="18.7109375" style="2" customWidth="1"/>
    <col min="8" max="8" width="16.7109375" style="2" customWidth="1"/>
    <col min="9" max="9" width="13.7109375" style="2" customWidth="1"/>
    <col min="10" max="10" width="15.7109375" style="2" customWidth="1"/>
    <col min="11" max="12" width="20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" t="s">
        <v>224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30" customHeight="1" x14ac:dyDescent="0.25">
      <c r="A2" s="4" t="s">
        <v>225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5" spans="1:17" ht="32.1" customHeight="1" x14ac:dyDescent="0.25">
      <c r="A5" s="5" t="s">
        <v>226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8.1" customHeight="1" x14ac:dyDescent="0.25"/>
    <row r="7" spans="1:17" ht="36" customHeight="1" x14ac:dyDescent="0.25">
      <c r="A7" s="19" t="s">
        <v>227</v>
      </c>
      <c r="B7" s="8" t="s">
        <v>228</v>
      </c>
      <c r="C7" s="6" t="s">
        <v>229</v>
      </c>
      <c r="D7" s="6" t="s">
        <v>177</v>
      </c>
      <c r="E7" s="6" t="s">
        <v>178</v>
      </c>
      <c r="F7" s="6" t="s">
        <v>115</v>
      </c>
      <c r="G7" s="6" t="s">
        <v>119</v>
      </c>
      <c r="H7" s="6" t="s">
        <v>191</v>
      </c>
      <c r="I7" s="6" t="s">
        <v>23</v>
      </c>
      <c r="J7" s="7" t="s">
        <v>230</v>
      </c>
      <c r="K7" s="6" t="s">
        <v>199</v>
      </c>
      <c r="L7" s="6" t="s">
        <v>231</v>
      </c>
      <c r="M7" s="6" t="s">
        <v>232</v>
      </c>
      <c r="N7" s="6" t="s">
        <v>132</v>
      </c>
      <c r="O7" s="6" t="s">
        <v>201</v>
      </c>
      <c r="P7" s="6" t="s">
        <v>180</v>
      </c>
      <c r="Q7" s="9" t="s">
        <v>133</v>
      </c>
    </row>
    <row r="8" spans="1:17" x14ac:dyDescent="0.25">
      <c r="A8" s="21"/>
      <c r="B8" s="16"/>
      <c r="C8" s="14"/>
      <c r="D8" s="14"/>
      <c r="E8" s="14"/>
      <c r="F8" s="14"/>
      <c r="G8" s="14"/>
      <c r="H8" s="14"/>
      <c r="I8" s="14"/>
      <c r="J8" s="15"/>
      <c r="K8" s="14"/>
      <c r="L8" s="14"/>
      <c r="M8" s="14"/>
      <c r="N8" s="14"/>
      <c r="O8" s="14"/>
      <c r="P8" s="14"/>
      <c r="Q8" s="17"/>
    </row>
  </sheetData>
  <mergeCells count="3">
    <mergeCell ref="A1:Q1"/>
    <mergeCell ref="A2:Q2"/>
    <mergeCell ref="A5:Q5"/>
  </mergeCells>
  <dataValidations count="6">
    <dataValidation type="list" allowBlank="1" showInputMessage="1" showErrorMessage="1" errorTitle="Valor no permitido" error="Selecciona un valor de la lista." sqref="E8" xr:uid="{6396C4B6-AF7C-4C0E-BD47-9AFD659194E6}">
      <formula1>lstUbicaciones</formula1>
    </dataValidation>
    <dataValidation type="list" allowBlank="1" showInputMessage="1" showErrorMessage="1" errorTitle="Valor no permitido" error="Selecciona un valor de la lista." sqref="F8" xr:uid="{6C8BD596-5B6E-4BC2-8862-E337939E4669}">
      <formula1>lstProductos</formula1>
    </dataValidation>
    <dataValidation type="list" allowBlank="1" showInputMessage="1" showErrorMessage="1" errorTitle="Valor no permitido" error="Selecciona un valor de la lista." sqref="P8" xr:uid="{2A06FDC9-6029-437A-9805-582683C9584F}">
      <formula1>lstEstadosOperacion</formula1>
    </dataValidation>
    <dataValidation type="list" allowBlank="1" showInputMessage="1" showErrorMessage="1" errorTitle="Valor no permitido" error="Selecciona un valor de la lista." sqref="D8" xr:uid="{034C2E6B-28FA-4852-B84D-3659800ABFB4}">
      <formula1>lstUbicaciones</formula1>
    </dataValidation>
    <dataValidation type="list" allowBlank="1" showInputMessage="1" showErrorMessage="1" errorTitle="Valor no permitido" error="Selecciona un valor de la lista." sqref="I8" xr:uid="{6087BFEC-53A0-4A9F-9CAF-14CE663CC581}">
      <formula1>lstUnidades</formula1>
    </dataValidation>
    <dataValidation type="list" allowBlank="1" showInputMessage="1" showErrorMessage="1" errorTitle="Valor no permitido" error="Selecciona un valor de la lista." sqref="C8" xr:uid="{4B1F9B09-848E-4435-A4BC-A56B6B1094C1}">
      <formula1>lstTiposMovimiento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A54F6-3F9C-4B45-9218-CC272ACA78DF}">
  <sheetPr codeName="Hoja6">
    <tabColor rgb="FFE67E22"/>
    <pageSetUpPr fitToPage="1"/>
  </sheetPr>
  <dimension ref="A1:U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2.7109375" style="18" customWidth="1"/>
    <col min="2" max="2" width="19.7109375" style="2" customWidth="1"/>
    <col min="3" max="3" width="18.7109375" style="2" customWidth="1"/>
    <col min="4" max="5" width="16.7109375" style="2" customWidth="1"/>
    <col min="6" max="6" width="20.7109375" style="2" customWidth="1"/>
    <col min="7" max="7" width="18.7109375" style="2" customWidth="1"/>
    <col min="8" max="8" width="21.7109375" style="2" customWidth="1"/>
    <col min="9" max="10" width="16.7109375" style="2" customWidth="1"/>
    <col min="11" max="11" width="17.7109375" style="2" customWidth="1"/>
    <col min="12" max="12" width="21.7109375" style="2" customWidth="1"/>
    <col min="13" max="15" width="15.7109375" style="2" customWidth="1"/>
    <col min="16" max="17" width="14.7109375" style="2" customWidth="1"/>
    <col min="18" max="18" width="16.7109375" style="2" customWidth="1"/>
    <col min="19" max="19" width="20.7109375" style="2" customWidth="1"/>
    <col min="20" max="20" width="28.7109375" style="2" customWidth="1"/>
    <col min="21" max="21" width="32.7109375" style="2" customWidth="1"/>
    <col min="22" max="16384" width="11.42578125" style="2"/>
  </cols>
  <sheetData>
    <row r="1" spans="1:21" ht="36" customHeight="1" x14ac:dyDescent="0.25">
      <c r="A1" s="3" t="s">
        <v>233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ht="30" customHeight="1" x14ac:dyDescent="0.25">
      <c r="A2" s="4" t="s">
        <v>234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5" spans="1:21" ht="32.1" customHeight="1" x14ac:dyDescent="0.25">
      <c r="A5" s="5" t="s">
        <v>235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1" ht="8.1" customHeight="1" x14ac:dyDescent="0.25"/>
    <row r="7" spans="1:21" ht="36" customHeight="1" x14ac:dyDescent="0.25">
      <c r="A7" s="19" t="s">
        <v>236</v>
      </c>
      <c r="B7" s="8" t="s">
        <v>237</v>
      </c>
      <c r="C7" s="6" t="s">
        <v>238</v>
      </c>
      <c r="D7" s="6" t="s">
        <v>239</v>
      </c>
      <c r="E7" s="6" t="s">
        <v>240</v>
      </c>
      <c r="F7" s="6" t="s">
        <v>241</v>
      </c>
      <c r="G7" s="6" t="s">
        <v>242</v>
      </c>
      <c r="H7" s="6" t="s">
        <v>243</v>
      </c>
      <c r="I7" s="6" t="s">
        <v>244</v>
      </c>
      <c r="J7" s="6" t="s">
        <v>245</v>
      </c>
      <c r="K7" s="7" t="s">
        <v>246</v>
      </c>
      <c r="L7" s="6" t="s">
        <v>247</v>
      </c>
      <c r="M7" s="6" t="s">
        <v>248</v>
      </c>
      <c r="N7" s="7" t="s">
        <v>249</v>
      </c>
      <c r="O7" s="7" t="s">
        <v>250</v>
      </c>
      <c r="P7" s="7" t="s">
        <v>251</v>
      </c>
      <c r="Q7" s="7" t="s">
        <v>252</v>
      </c>
      <c r="R7" s="22" t="s">
        <v>253</v>
      </c>
      <c r="S7" s="6" t="s">
        <v>132</v>
      </c>
      <c r="T7" s="6" t="s">
        <v>201</v>
      </c>
      <c r="U7" s="9" t="s">
        <v>133</v>
      </c>
    </row>
    <row r="8" spans="1:21" x14ac:dyDescent="0.25">
      <c r="A8" s="21"/>
      <c r="B8" s="16"/>
      <c r="C8" s="14"/>
      <c r="D8" s="14"/>
      <c r="E8" s="14"/>
      <c r="F8" s="14"/>
      <c r="G8" s="14"/>
      <c r="H8" s="14"/>
      <c r="I8" s="14"/>
      <c r="J8" s="14"/>
      <c r="K8" s="15"/>
      <c r="L8" s="14"/>
      <c r="M8" s="14"/>
      <c r="N8" s="15"/>
      <c r="O8" s="15"/>
      <c r="P8" s="15"/>
      <c r="Q8" s="15"/>
      <c r="R8" s="23" t="str">
        <f>IF(OR(N8="",O8=""),"",IFERROR(O8/N8,0))</f>
        <v/>
      </c>
      <c r="S8" s="14"/>
      <c r="T8" s="14"/>
      <c r="U8" s="17"/>
    </row>
  </sheetData>
  <mergeCells count="3">
    <mergeCell ref="A1:U1"/>
    <mergeCell ref="A2:U2"/>
    <mergeCell ref="A5:U5"/>
  </mergeCells>
  <dataValidations count="6">
    <dataValidation type="list" allowBlank="1" showInputMessage="1" showErrorMessage="1" errorTitle="Valor no permitido" error="Selecciona un valor de la lista." sqref="M8" xr:uid="{CB685B79-47DE-4104-853C-10B502F42820}">
      <formula1>lstUnidades</formula1>
    </dataValidation>
    <dataValidation type="list" allowBlank="1" showInputMessage="1" showErrorMessage="1" errorTitle="Valor no permitido" error="Selecciona un valor de la lista." sqref="F8" xr:uid="{28AF4B08-A7B3-4376-99ED-657EC8CB8697}">
      <formula1>lstEstadosOperacion</formula1>
    </dataValidation>
    <dataValidation type="list" allowBlank="1" showInputMessage="1" showErrorMessage="1" errorTitle="Valor no permitido" error="Selecciona un valor de la lista." sqref="G8" xr:uid="{C1616DC8-966C-4339-AA41-BF7215F2F02B}">
      <formula1>lstEstadosCalidad</formula1>
    </dataValidation>
    <dataValidation type="list" allowBlank="1" showInputMessage="1" showErrorMessage="1" errorTitle="Valor no permitido" error="Selecciona un valor de la lista." sqref="L8" xr:uid="{84DFBEC9-F44E-4548-A299-851A03F9AF9F}">
      <formula1>lstProductos</formula1>
    </dataValidation>
    <dataValidation type="list" allowBlank="1" showInputMessage="1" showErrorMessage="1" errorTitle="Valor no permitido" error="Selecciona un valor de la lista." sqref="H8" xr:uid="{803C193D-645A-46D3-B6E6-EECFCF80DF41}">
      <formula1>lstProductos</formula1>
    </dataValidation>
    <dataValidation type="list" allowBlank="1" showInputMessage="1" showErrorMessage="1" errorTitle="Valor no permitido" error="Selecciona un valor de la lista." sqref="J8" xr:uid="{A96D03A6-FEE1-41D2-A94A-6587618756E9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E114-7328-448D-84A5-D1C6D8E08719}">
  <sheetPr codeName="Hoja5">
    <tabColor rgb="FFC0392B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19.7109375" style="2" customWidth="1"/>
    <col min="3" max="3" width="21.7109375" style="2" customWidth="1"/>
    <col min="4" max="5" width="19.7109375" style="2" customWidth="1"/>
    <col min="6" max="6" width="16.7109375" style="2" customWidth="1"/>
    <col min="7" max="7" width="18.7109375" style="2" customWidth="1"/>
    <col min="8" max="8" width="22.7109375" style="2" customWidth="1"/>
    <col min="9" max="9" width="15.7109375" style="2" customWidth="1"/>
    <col min="10" max="10" width="19.7109375" style="2" customWidth="1"/>
    <col min="11" max="11" width="13.7109375" style="2" customWidth="1"/>
    <col min="12" max="12" width="18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" t="s">
        <v>254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30" customHeight="1" x14ac:dyDescent="0.25">
      <c r="A2" s="4" t="s">
        <v>255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5" spans="1:17" ht="32.1" customHeight="1" x14ac:dyDescent="0.25">
      <c r="A5" s="5" t="s">
        <v>256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8.1" customHeight="1" x14ac:dyDescent="0.25"/>
    <row r="7" spans="1:17" ht="36" customHeight="1" x14ac:dyDescent="0.25">
      <c r="A7" s="19" t="s">
        <v>257</v>
      </c>
      <c r="B7" s="8" t="s">
        <v>258</v>
      </c>
      <c r="C7" s="6" t="s">
        <v>259</v>
      </c>
      <c r="D7" s="6" t="s">
        <v>147</v>
      </c>
      <c r="E7" s="6" t="s">
        <v>115</v>
      </c>
      <c r="F7" s="6" t="s">
        <v>191</v>
      </c>
      <c r="G7" s="8" t="s">
        <v>192</v>
      </c>
      <c r="H7" s="6" t="s">
        <v>211</v>
      </c>
      <c r="I7" s="7" t="s">
        <v>210</v>
      </c>
      <c r="J7" s="7" t="s">
        <v>260</v>
      </c>
      <c r="K7" s="6" t="s">
        <v>23</v>
      </c>
      <c r="L7" s="6" t="s">
        <v>261</v>
      </c>
      <c r="M7" s="6" t="s">
        <v>232</v>
      </c>
      <c r="N7" s="6" t="s">
        <v>132</v>
      </c>
      <c r="O7" s="6" t="s">
        <v>201</v>
      </c>
      <c r="P7" s="6" t="s">
        <v>180</v>
      </c>
      <c r="Q7" s="9" t="s">
        <v>133</v>
      </c>
    </row>
    <row r="8" spans="1:17" x14ac:dyDescent="0.25">
      <c r="A8" s="21"/>
      <c r="B8" s="16"/>
      <c r="C8" s="14"/>
      <c r="D8" s="14"/>
      <c r="E8" s="14"/>
      <c r="F8" s="14"/>
      <c r="G8" s="16"/>
      <c r="H8" s="14"/>
      <c r="I8" s="15"/>
      <c r="J8" s="15"/>
      <c r="K8" s="14"/>
      <c r="L8" s="14"/>
      <c r="M8" s="14"/>
      <c r="N8" s="14"/>
      <c r="O8" s="14"/>
      <c r="P8" s="14"/>
      <c r="Q8" s="17"/>
    </row>
  </sheetData>
  <mergeCells count="3">
    <mergeCell ref="A1:Q1"/>
    <mergeCell ref="A2:Q2"/>
    <mergeCell ref="A5:Q5"/>
  </mergeCells>
  <dataValidations count="7">
    <dataValidation type="list" allowBlank="1" showInputMessage="1" showErrorMessage="1" errorTitle="Valor no permitido" error="Selecciona un valor de la lista." sqref="P8" xr:uid="{230B49F2-6171-4256-A463-195AB01057C7}">
      <formula1>lstEstadosOperacion</formula1>
    </dataValidation>
    <dataValidation type="list" allowBlank="1" showInputMessage="1" showErrorMessage="1" errorTitle="Valor no permitido" error="Selecciona un valor de la lista." sqref="E8" xr:uid="{933EFBE3-94F7-42A9-94B6-D3646DD2D021}">
      <formula1>lstProductos</formula1>
    </dataValidation>
    <dataValidation type="list" allowBlank="1" showInputMessage="1" showErrorMessage="1" errorTitle="Valor no permitido" error="Selecciona un valor de la lista." sqref="C8" xr:uid="{529AB3B9-3E16-4E34-8FD1-A861DE496779}">
      <formula1>lstTiposCalidadMerma</formula1>
    </dataValidation>
    <dataValidation type="list" allowBlank="1" showInputMessage="1" showErrorMessage="1" errorTitle="Valor no permitido" error="Selecciona un valor de la lista." sqref="D8" xr:uid="{52ADCF6B-1010-4935-A7B7-4AFB369E87AB}">
      <formula1>lstUbicaciones</formula1>
    </dataValidation>
    <dataValidation type="list" allowBlank="1" showInputMessage="1" showErrorMessage="1" errorTitle="Valor no permitido" error="Selecciona un valor de la lista." sqref="H8" xr:uid="{4902E94F-38BD-4441-A302-3A6938FEC87F}">
      <formula1>lstCondiciones</formula1>
    </dataValidation>
    <dataValidation type="list" allowBlank="1" showInputMessage="1" showErrorMessage="1" errorTitle="Valor no permitido" error="Selecciona un valor de la lista." sqref="K8" xr:uid="{99874774-DF9B-432F-8C09-35115EE88F3C}">
      <formula1>lstUnidades</formula1>
    </dataValidation>
    <dataValidation type="list" allowBlank="1" showInputMessage="1" showErrorMessage="1" errorTitle="Valor no permitido" error="Selecciona un valor de la lista." sqref="L8" xr:uid="{97657979-4A1B-42DA-A9BB-C625411C1C75}">
      <formula1>lstDisposiciones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471A3-F91B-45B2-A62A-2669E1A76EB1}">
  <sheetPr codeName="Hoja4">
    <tabColor rgb="FFC0392B"/>
    <pageSetUpPr fitToPage="1"/>
  </sheetPr>
  <dimension ref="A1:N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5.7109375" style="18" customWidth="1"/>
    <col min="2" max="2" width="19.7109375" style="2" customWidth="1"/>
    <col min="3" max="3" width="18.7109375" style="2" customWidth="1"/>
    <col min="4" max="4" width="23.7109375" style="2" customWidth="1"/>
    <col min="5" max="6" width="20.7109375" style="2" customWidth="1"/>
    <col min="7" max="7" width="17.7109375" style="2" customWidth="1"/>
    <col min="8" max="8" width="18.7109375" style="2" customWidth="1"/>
    <col min="9" max="9" width="15.7109375" style="2" customWidth="1"/>
    <col min="10" max="11" width="20.7109375" style="2" customWidth="1"/>
    <col min="12" max="12" width="18.7109375" style="2" customWidth="1"/>
    <col min="13" max="13" width="28.7109375" style="2" customWidth="1"/>
    <col min="14" max="14" width="32.7109375" style="2" customWidth="1"/>
    <col min="15" max="16384" width="11.42578125" style="2"/>
  </cols>
  <sheetData>
    <row r="1" spans="1:14" ht="36" customHeight="1" x14ac:dyDescent="0.25">
      <c r="A1" s="3" t="s">
        <v>262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30" customHeight="1" x14ac:dyDescent="0.25">
      <c r="A2" s="4" t="s">
        <v>263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5" spans="1:14" ht="32.1" customHeight="1" x14ac:dyDescent="0.25">
      <c r="A5" s="5" t="s">
        <v>264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ht="8.1" customHeight="1" x14ac:dyDescent="0.25"/>
    <row r="7" spans="1:14" ht="36" customHeight="1" x14ac:dyDescent="0.25">
      <c r="A7" s="19" t="s">
        <v>265</v>
      </c>
      <c r="B7" s="8" t="s">
        <v>228</v>
      </c>
      <c r="C7" s="6" t="s">
        <v>266</v>
      </c>
      <c r="D7" s="6" t="s">
        <v>267</v>
      </c>
      <c r="E7" s="6" t="s">
        <v>177</v>
      </c>
      <c r="F7" s="6" t="s">
        <v>178</v>
      </c>
      <c r="G7" s="7" t="s">
        <v>268</v>
      </c>
      <c r="H7" s="7" t="s">
        <v>196</v>
      </c>
      <c r="I7" s="7" t="s">
        <v>221</v>
      </c>
      <c r="J7" s="6" t="s">
        <v>199</v>
      </c>
      <c r="K7" s="6" t="s">
        <v>200</v>
      </c>
      <c r="L7" s="6" t="s">
        <v>180</v>
      </c>
      <c r="M7" s="6" t="s">
        <v>201</v>
      </c>
      <c r="N7" s="9" t="s">
        <v>133</v>
      </c>
    </row>
    <row r="8" spans="1:14" x14ac:dyDescent="0.25">
      <c r="A8" s="21"/>
      <c r="B8" s="16"/>
      <c r="C8" s="14"/>
      <c r="D8" s="14"/>
      <c r="E8" s="14"/>
      <c r="F8" s="14"/>
      <c r="G8" s="15"/>
      <c r="H8" s="15"/>
      <c r="I8" s="24" t="str">
        <f>IF(OR(G8="",H8=""),"",H8-G8)</f>
        <v/>
      </c>
      <c r="J8" s="14"/>
      <c r="K8" s="14"/>
      <c r="L8" s="14"/>
      <c r="M8" s="14"/>
      <c r="N8" s="17"/>
    </row>
  </sheetData>
  <mergeCells count="3">
    <mergeCell ref="A1:N1"/>
    <mergeCell ref="A2:N2"/>
    <mergeCell ref="A5:N5"/>
  </mergeCells>
  <dataValidations count="4">
    <dataValidation type="list" allowBlank="1" showInputMessage="1" showErrorMessage="1" errorTitle="Valor no permitido" error="Selecciona un valor de la lista." sqref="L8" xr:uid="{CBE98640-328F-4050-BD8E-FA334A9A4806}">
      <formula1>lstEstadosOperacion</formula1>
    </dataValidation>
    <dataValidation type="list" allowBlank="1" showInputMessage="1" showErrorMessage="1" errorTitle="Valor no permitido" error="Selecciona un valor de la lista." sqref="E8" xr:uid="{B383DE20-EB85-43AE-90F9-C160B6128EF5}">
      <formula1>lstUbicaciones</formula1>
    </dataValidation>
    <dataValidation type="list" allowBlank="1" showInputMessage="1" showErrorMessage="1" errorTitle="Valor no permitido" error="Selecciona un valor de la lista." sqref="C8" xr:uid="{44120113-2802-44A3-AED0-8F21FC4339B9}">
      <formula1>lstTiposRetornable</formula1>
    </dataValidation>
    <dataValidation type="list" allowBlank="1" showInputMessage="1" showErrorMessage="1" errorTitle="Valor no permitido" error="Selecciona un valor de la lista." sqref="F8" xr:uid="{92394C35-6A5C-4EA8-A7B7-1B754D94EE0E}">
      <formula1>lstUbicaciones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7D364-9E0A-4683-A418-28A56F884625}">
  <sheetPr codeName="Hoja3">
    <tabColor rgb="FF1F6AA6"/>
    <pageSetUpPr fitToPage="1"/>
  </sheetPr>
  <dimension ref="A1:S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22.7109375" style="2" customWidth="1"/>
    <col min="3" max="5" width="18.7109375" style="2" customWidth="1"/>
    <col min="6" max="6" width="25.7109375" style="2" customWidth="1"/>
    <col min="7" max="7" width="24.7109375" style="2" customWidth="1"/>
    <col min="8" max="8" width="20.7109375" style="2" customWidth="1"/>
    <col min="9" max="9" width="22.7109375" style="2" customWidth="1"/>
    <col min="10" max="10" width="18.7109375" style="2" customWidth="1"/>
    <col min="11" max="11" width="25.7109375" style="2" customWidth="1"/>
    <col min="12" max="12" width="22.7109375" style="2" customWidth="1"/>
    <col min="13" max="13" width="18.7109375" style="2" customWidth="1"/>
    <col min="14" max="15" width="25.7109375" style="2" customWidth="1"/>
    <col min="16" max="16" width="30.7109375" style="2" customWidth="1"/>
    <col min="17" max="17" width="28.7109375" style="2" customWidth="1"/>
    <col min="18" max="18" width="21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" t="s">
        <v>269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t="30" customHeight="1" x14ac:dyDescent="0.25">
      <c r="A2" s="4" t="s">
        <v>270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5" spans="1:19" ht="32.1" customHeight="1" x14ac:dyDescent="0.25">
      <c r="A5" s="5" t="s">
        <v>271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8.1" customHeight="1" x14ac:dyDescent="0.25"/>
    <row r="7" spans="1:19" ht="36" customHeight="1" x14ac:dyDescent="0.25">
      <c r="A7" s="19" t="s">
        <v>272</v>
      </c>
      <c r="B7" s="6" t="s">
        <v>148</v>
      </c>
      <c r="C7" s="6" t="s">
        <v>149</v>
      </c>
      <c r="D7" s="6" t="s">
        <v>150</v>
      </c>
      <c r="E7" s="6" t="s">
        <v>151</v>
      </c>
      <c r="F7" s="6" t="s">
        <v>273</v>
      </c>
      <c r="G7" s="6" t="s">
        <v>274</v>
      </c>
      <c r="H7" s="6" t="s">
        <v>275</v>
      </c>
      <c r="I7" s="6" t="s">
        <v>276</v>
      </c>
      <c r="J7" s="6" t="s">
        <v>277</v>
      </c>
      <c r="K7" s="6" t="s">
        <v>278</v>
      </c>
      <c r="L7" s="6" t="s">
        <v>279</v>
      </c>
      <c r="M7" s="6" t="s">
        <v>280</v>
      </c>
      <c r="N7" s="6" t="s">
        <v>281</v>
      </c>
      <c r="O7" s="6" t="s">
        <v>282</v>
      </c>
      <c r="P7" s="6" t="s">
        <v>283</v>
      </c>
      <c r="Q7" s="6" t="s">
        <v>201</v>
      </c>
      <c r="R7" s="6" t="s">
        <v>130</v>
      </c>
      <c r="S7" s="9" t="s">
        <v>133</v>
      </c>
    </row>
    <row r="8" spans="1:19" x14ac:dyDescent="0.25">
      <c r="A8" s="21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7"/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R8" xr:uid="{DDC92658-ABDD-4ADC-B0C8-6B3993F87A38}">
      <formula1>lstEstadosRegistro</formula1>
    </dataValidation>
    <dataValidation type="list" allowBlank="1" showInputMessage="1" showErrorMessage="1" errorTitle="Valor no permitido" error="Selecciona un valor de la lista." sqref="B8" xr:uid="{4433B21A-4219-49EA-8A7B-150BDEB1B477}">
      <formula1>lstSedes</formula1>
    </dataValidation>
    <dataValidation type="list" allowBlank="1" showInputMessage="1" showErrorMessage="1" errorTitle="Valor no permitido" error="Selecciona un valor de la lista." sqref="F8" xr:uid="{0E4DEAF4-A273-4779-A343-F01F137A6E4B}">
      <formula1>lstPerfilesEstacion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F66C-888D-4B19-8E4E-D90779216825}">
  <sheetPr codeName="Hoja2">
    <tabColor rgb="FF27845E"/>
  </sheetPr>
  <dimension ref="A1:L23"/>
  <sheetViews>
    <sheetView showGridLines="0" workbookViewId="0">
      <selection sqref="A1:L1"/>
    </sheetView>
  </sheetViews>
  <sheetFormatPr baseColWidth="10" defaultRowHeight="13.5" x14ac:dyDescent="0.25"/>
  <cols>
    <col min="1" max="1" width="24.7109375" style="2" customWidth="1"/>
    <col min="2" max="2" width="14.7109375" style="2" customWidth="1"/>
    <col min="3" max="12" width="12.7109375" style="2" customWidth="1"/>
    <col min="13" max="16384" width="11.42578125" style="2"/>
  </cols>
  <sheetData>
    <row r="1" spans="1:12" ht="36" customHeight="1" x14ac:dyDescent="0.25">
      <c r="A1" s="3" t="s">
        <v>284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30" customHeight="1" x14ac:dyDescent="0.25">
      <c r="A2" s="4" t="s">
        <v>285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5" spans="1:12" ht="32.1" customHeight="1" x14ac:dyDescent="0.25">
      <c r="A5" s="5" t="s">
        <v>286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7" spans="1:12" x14ac:dyDescent="0.25">
      <c r="A7" s="25" t="s">
        <v>287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</row>
    <row r="9" spans="1:12" x14ac:dyDescent="0.25">
      <c r="A9" s="26" t="s">
        <v>288</v>
      </c>
      <c r="B9" s="27"/>
      <c r="D9" s="26" t="s">
        <v>289</v>
      </c>
      <c r="E9" s="27"/>
      <c r="G9" s="26" t="s">
        <v>290</v>
      </c>
      <c r="H9" s="27"/>
      <c r="J9" s="26" t="s">
        <v>291</v>
      </c>
      <c r="K9" s="27"/>
    </row>
    <row r="10" spans="1:12" x14ac:dyDescent="0.25">
      <c r="A10" s="28">
        <f>COUNTIF('01_CATALOGOS'!$P$8:$P$200,"ACTIVO")</f>
        <v>0</v>
      </c>
      <c r="B10" s="29"/>
      <c r="D10" s="32">
        <f>COUNTIFS('03_SOLICITUDES'!$A$8:$A$200,"&lt;&gt;",'03_SOLICITUDES'!$G$8:$G$200,"&lt;&gt;CERRADA",'03_SOLICITUDES'!$G$8:$G$200,"&lt;&gt;CANCELADA")</f>
        <v>0</v>
      </c>
      <c r="E10" s="33"/>
      <c r="G10" s="36">
        <f>COUNTIF('04_REMISIONES'!$F$8:$F$200,"EN TRÁNSITO")</f>
        <v>0</v>
      </c>
      <c r="H10" s="37"/>
      <c r="J10" s="40">
        <f>COUNTIFS('04_REMISIONES'!$A$8:$A$200,"&lt;&gt;",'04_REMISIONES'!$R$8:$R$200,"&lt;&gt;0")</f>
        <v>0</v>
      </c>
      <c r="K10" s="41"/>
    </row>
    <row r="11" spans="1:12" x14ac:dyDescent="0.25">
      <c r="A11" s="30"/>
      <c r="B11" s="31"/>
      <c r="D11" s="34"/>
      <c r="E11" s="35"/>
      <c r="G11" s="38"/>
      <c r="H11" s="39"/>
      <c r="J11" s="42"/>
      <c r="K11" s="43"/>
    </row>
    <row r="13" spans="1:12" x14ac:dyDescent="0.25">
      <c r="A13" s="26" t="s">
        <v>292</v>
      </c>
      <c r="B13" s="27"/>
      <c r="D13" s="26" t="s">
        <v>293</v>
      </c>
      <c r="E13" s="27"/>
      <c r="G13" s="26" t="s">
        <v>294</v>
      </c>
      <c r="H13" s="27"/>
      <c r="J13" s="26" t="s">
        <v>295</v>
      </c>
      <c r="K13" s="27"/>
    </row>
    <row r="14" spans="1:12" x14ac:dyDescent="0.25">
      <c r="A14" s="40">
        <f>COUNTIFS('06_CONTEOS'!$A$8:$A$200,"&lt;&gt;",'06_CONTEOS'!$M$8:$M$200,"&lt;&gt;0")</f>
        <v>0</v>
      </c>
      <c r="B14" s="41"/>
      <c r="D14" s="36">
        <f>COUNTIFS('09_CALIDAD_MERMAS'!$A$8:$A$200,"&lt;&gt;",'09_CALIDAD_MERMAS'!$P$8:$P$200,"&lt;&gt;CERRADA",'09_CALIDAD_MERMAS'!$P$8:$P$200,"&lt;&gt;CANCELADA")</f>
        <v>0</v>
      </c>
      <c r="E14" s="37"/>
      <c r="G14" s="28">
        <f>COUNTIF('11_ESTACIONES'!$R$8:$R$200,"POR VALIDAR")</f>
        <v>0</v>
      </c>
      <c r="H14" s="29"/>
      <c r="J14" s="44">
        <f>IFERROR(AVERAGE('08_PRODUCCION'!$R$8:$R$200),0)</f>
        <v>0</v>
      </c>
      <c r="K14" s="45"/>
    </row>
    <row r="15" spans="1:12" x14ac:dyDescent="0.25">
      <c r="A15" s="42"/>
      <c r="B15" s="43"/>
      <c r="D15" s="38"/>
      <c r="E15" s="39"/>
      <c r="G15" s="30"/>
      <c r="H15" s="31"/>
      <c r="J15" s="46"/>
      <c r="K15" s="47"/>
    </row>
    <row r="18" spans="1:2" x14ac:dyDescent="0.25">
      <c r="A18" s="48" t="s">
        <v>296</v>
      </c>
      <c r="B18" s="48" t="s">
        <v>297</v>
      </c>
    </row>
    <row r="19" spans="1:2" x14ac:dyDescent="0.25">
      <c r="A19" s="49" t="s">
        <v>289</v>
      </c>
      <c r="B19" s="49">
        <f>COUNTIFS('03_SOLICITUDES'!$A$8:$A$200,"&lt;&gt;",'03_SOLICITUDES'!$G$8:$G$200,"&lt;&gt;CERRADA",'03_SOLICITUDES'!$G$8:$G$200,"&lt;&gt;CANCELADA")</f>
        <v>0</v>
      </c>
    </row>
    <row r="20" spans="1:2" x14ac:dyDescent="0.25">
      <c r="A20" s="49" t="s">
        <v>290</v>
      </c>
      <c r="B20" s="49">
        <f>COUNTIF('04_REMISIONES'!$F$8:$F$200,"EN TRÁNSITO")</f>
        <v>0</v>
      </c>
    </row>
    <row r="21" spans="1:2" x14ac:dyDescent="0.25">
      <c r="A21" s="49" t="s">
        <v>291</v>
      </c>
      <c r="B21" s="49">
        <f>COUNTIFS('04_REMISIONES'!$A$8:$A$200,"&lt;&gt;",'04_REMISIONES'!$R$8:$R$200,"&lt;&gt;0")</f>
        <v>0</v>
      </c>
    </row>
    <row r="22" spans="1:2" x14ac:dyDescent="0.25">
      <c r="A22" s="49" t="s">
        <v>298</v>
      </c>
      <c r="B22" s="49">
        <f>COUNTIFS('06_CONTEOS'!$A$8:$A$200,"&lt;&gt;",'06_CONTEOS'!$M$8:$M$200,"&lt;&gt;0")</f>
        <v>0</v>
      </c>
    </row>
    <row r="23" spans="1:2" x14ac:dyDescent="0.25">
      <c r="A23" s="49" t="s">
        <v>293</v>
      </c>
      <c r="B23" s="49">
        <f>COUNTIFS('09_CALIDAD_MERMAS'!$A$8:$A$200,"&lt;&gt;",'09_CALIDAD_MERMAS'!$P$8:$P$200,"&lt;&gt;CERRADA",'09_CALIDAD_MERMAS'!$P$8:$P$200,"&lt;&gt;CANCELADA")</f>
        <v>0</v>
      </c>
    </row>
  </sheetData>
  <mergeCells count="20">
    <mergeCell ref="J9:K9"/>
    <mergeCell ref="J10:K11"/>
    <mergeCell ref="A13:B13"/>
    <mergeCell ref="A14:B15"/>
    <mergeCell ref="D13:E13"/>
    <mergeCell ref="D14:E15"/>
    <mergeCell ref="G13:H13"/>
    <mergeCell ref="G14:H15"/>
    <mergeCell ref="J13:K13"/>
    <mergeCell ref="J14:K15"/>
    <mergeCell ref="A1:L1"/>
    <mergeCell ref="A2:L2"/>
    <mergeCell ref="A5:L5"/>
    <mergeCell ref="A7:L7"/>
    <mergeCell ref="A9:B9"/>
    <mergeCell ref="A10:B11"/>
    <mergeCell ref="D9:E9"/>
    <mergeCell ref="D10:E11"/>
    <mergeCell ref="G9:H9"/>
    <mergeCell ref="G10:H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20</vt:i4>
      </vt:variant>
    </vt:vector>
  </HeadingPairs>
  <TitlesOfParts>
    <vt:vector size="33" baseType="lpstr">
      <vt:lpstr>00_INICIO</vt:lpstr>
      <vt:lpstr>01_CATALOGOS</vt:lpstr>
      <vt:lpstr>02_UBICACIONES</vt:lpstr>
      <vt:lpstr>03_SOLICITUDES</vt:lpstr>
      <vt:lpstr>04_REMISIONES</vt:lpstr>
      <vt:lpstr>05_RECEPCIONES</vt:lpstr>
      <vt:lpstr>06_CONTEOS</vt:lpstr>
      <vt:lpstr>07_MOVIMIENTOS</vt:lpstr>
      <vt:lpstr>08_PRODUCCION</vt:lpstr>
      <vt:lpstr>09_CALIDAD_MERMAS</vt:lpstr>
      <vt:lpstr>10_RETORNABLES</vt:lpstr>
      <vt:lpstr>11_ESTACIONES</vt:lpstr>
      <vt:lpstr>12_PANEL</vt:lpstr>
      <vt:lpstr>lstCondiciones</vt:lpstr>
      <vt:lpstr>lstDecisiones</vt:lpstr>
      <vt:lpstr>lstDisposiciones</vt:lpstr>
      <vt:lpstr>lstEstadosCalidad</vt:lpstr>
      <vt:lpstr>lstEstadosOperacion</vt:lpstr>
      <vt:lpstr>lstEstadosRegistro</vt:lpstr>
      <vt:lpstr>lstEstadosRemision</vt:lpstr>
      <vt:lpstr>lstEstadosSolicitud</vt:lpstr>
      <vt:lpstr>lstMetodosConteo</vt:lpstr>
      <vt:lpstr>lstMetodosRecepcion</vt:lpstr>
      <vt:lpstr>lstPerfilesEstacion</vt:lpstr>
      <vt:lpstr>lstPrioridades</vt:lpstr>
      <vt:lpstr>lstProductos</vt:lpstr>
      <vt:lpstr>lstSedes</vt:lpstr>
      <vt:lpstr>lstSiNo</vt:lpstr>
      <vt:lpstr>lstTiposCalidadMerma</vt:lpstr>
      <vt:lpstr>lstTiposMovimiento</vt:lpstr>
      <vt:lpstr>lstTiposRetornable</vt:lpstr>
      <vt:lpstr>lstUbicaciones</vt:lpstr>
      <vt:lpstr>lstUnidades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Ibarra Ariza</dc:creator>
  <cp:lastModifiedBy>Carlos Ibarra Ariza</cp:lastModifiedBy>
  <dcterms:created xsi:type="dcterms:W3CDTF">2026-07-30T01:58:52Z</dcterms:created>
  <dcterms:modified xsi:type="dcterms:W3CDTF">2026-07-30T01:59:04Z</dcterms:modified>
</cp:coreProperties>
</file>