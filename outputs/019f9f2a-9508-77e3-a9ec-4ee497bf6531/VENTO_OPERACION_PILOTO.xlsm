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vVentoGroup\vento-shell\outputs\019f9f2a-9508-77e3-a9ec-4ee497bf6531\"/>
    </mc:Choice>
  </mc:AlternateContent>
  <xr:revisionPtr revIDLastSave="0" documentId="13_ncr:1_{281DED2D-B00B-4F76-A27C-109B3C0E0848}" xr6:coauthVersionLast="47" xr6:coauthVersionMax="47" xr10:uidLastSave="{00000000-0000-0000-0000-000000000000}"/>
  <bookViews>
    <workbookView xWindow="-120" yWindow="-120" windowWidth="29040" windowHeight="15720" firstSheet="1" activeTab="1" xr2:uid="{36D5A0CE-9258-4CF9-B8B8-5EFFA7783C9B}"/>
  </bookViews>
  <sheets>
    <sheet name="99_LISTAS" sheetId="2" state="veryHidden" r:id="rId1"/>
    <sheet name="00_INICIO" sheetId="1" r:id="rId2"/>
    <sheet name="01_CATALOGOS" sheetId="3" r:id="rId3"/>
    <sheet name="02_UBICACIONES" sheetId="4" r:id="rId4"/>
    <sheet name="03_SOLICITUDES" sheetId="5" r:id="rId5"/>
    <sheet name="04_REMISIONES" sheetId="6" r:id="rId6"/>
    <sheet name="05_RECEPCIONES" sheetId="7" r:id="rId7"/>
    <sheet name="06_CONTEOS" sheetId="8" r:id="rId8"/>
    <sheet name="07_MOVIMIENTOS" sheetId="9" r:id="rId9"/>
    <sheet name="08_PRODUCCION" sheetId="10" r:id="rId10"/>
    <sheet name="09_CALIDAD_MERMAS" sheetId="11" r:id="rId11"/>
    <sheet name="10_RETORNABLES" sheetId="12" r:id="rId12"/>
    <sheet name="11_ESTACIONES" sheetId="13" r:id="rId13"/>
    <sheet name="12_PANEL" sheetId="14" r:id="rId14"/>
  </sheets>
  <externalReferences>
    <externalReference r:id="rId15"/>
  </externalReferences>
  <definedNames>
    <definedName name="lstCondiciones">'99_LISTAS'!$I$2:$I$8</definedName>
    <definedName name="lstDecisiones">'99_LISTAS'!$J$2:$J$7</definedName>
    <definedName name="lstDisposiciones">'99_LISTAS'!$L$2:$L$8</definedName>
    <definedName name="lstEstadosCalidad">'99_LISTAS'!$P$2:$P$6</definedName>
    <definedName name="lstEstadosOperacion">'99_LISTAS'!$H$2:$H$7</definedName>
    <definedName name="lstEstadosRegistro">'99_LISTAS'!$N$2:$N$6</definedName>
    <definedName name="lstEstadosRemision">'99_LISTAS'!$D$2:$D$9</definedName>
    <definedName name="lstEstadosSolicitud">'99_LISTAS'!$B$2:$B$7</definedName>
    <definedName name="lstMetodosConteo">'99_LISTAS'!$F$2:$F$6</definedName>
    <definedName name="lstMetodosRecepcion">'99_LISTAS'!$R$2:$R$6</definedName>
    <definedName name="lstPerfilesEstacion">'99_LISTAS'!$M$2:$M$8</definedName>
    <definedName name="lstPrioridades">'99_LISTAS'!$C$2:$C$4</definedName>
    <definedName name="lstProductos">'01_CATALOGOS'!$A$8:$A$200</definedName>
    <definedName name="lstSedes">'99_LISTAS'!$A$2:$A$5</definedName>
    <definedName name="lstSiNo">'99_LISTAS'!$Q$2:$Q$3</definedName>
    <definedName name="lstTiposCalidadMerma">'99_LISTAS'!$K$2:$K$8</definedName>
    <definedName name="lstTiposMovimiento">'99_LISTAS'!$G$2:$G$8</definedName>
    <definedName name="lstTiposRetornable">'99_LISTAS'!$O$2:$O$8</definedName>
    <definedName name="lstUbicaciones">'02_UBICACIONES'!$A$8:$A$200</definedName>
    <definedName name="lstUnidades">'99_LISTAS'!$E$2:$E$10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14" l="1"/>
  <c r="B22" i="14"/>
  <c r="B21" i="14"/>
  <c r="B20" i="14"/>
  <c r="B19" i="14"/>
  <c r="I8" i="12"/>
  <c r="R8" i="10"/>
  <c r="M8" i="8"/>
  <c r="Q8" i="6"/>
  <c r="R8" i="6" s="1"/>
  <c r="M8" i="5"/>
  <c r="S8" i="6" l="1"/>
</calcChain>
</file>

<file path=xl/sharedStrings.xml><?xml version="1.0" encoding="utf-8"?>
<sst xmlns="http://schemas.openxmlformats.org/spreadsheetml/2006/main" count="487" uniqueCount="313">
  <si>
    <t>Sedes</t>
  </si>
  <si>
    <t>Centro de Producción</t>
  </si>
  <si>
    <t>Vento Café</t>
  </si>
  <si>
    <t>Saudo</t>
  </si>
  <si>
    <t>Molka</t>
  </si>
  <si>
    <t>EstadosSolicitud</t>
  </si>
  <si>
    <t>BORRADOR</t>
  </si>
  <si>
    <t>SOLICITADA</t>
  </si>
  <si>
    <t>APROBADA</t>
  </si>
  <si>
    <t>EN PREPARACIÓN</t>
  </si>
  <si>
    <t>CERRADA</t>
  </si>
  <si>
    <t>CANCELADA</t>
  </si>
  <si>
    <t>Prioridades</t>
  </si>
  <si>
    <t>NORMAL</t>
  </si>
  <si>
    <t>ALTA</t>
  </si>
  <si>
    <t>URGENTE</t>
  </si>
  <si>
    <t>EstadosRemision</t>
  </si>
  <si>
    <t>PREPARACIÓN</t>
  </si>
  <si>
    <t>CARGADA</t>
  </si>
  <si>
    <t>DESPACHADA</t>
  </si>
  <si>
    <t>EN TRÁNSITO</t>
  </si>
  <si>
    <t>RECIBIDA</t>
  </si>
  <si>
    <t>Unidades</t>
  </si>
  <si>
    <t>unidad</t>
  </si>
  <si>
    <t>kg</t>
  </si>
  <si>
    <t>g</t>
  </si>
  <si>
    <t>L</t>
  </si>
  <si>
    <t>mL</t>
  </si>
  <si>
    <t>caja</t>
  </si>
  <si>
    <t>bolsa</t>
  </si>
  <si>
    <t>paquete</t>
  </si>
  <si>
    <t>bandeja</t>
  </si>
  <si>
    <t>MetodosConteo</t>
  </si>
  <si>
    <t>CONTEO CIEGO</t>
  </si>
  <si>
    <t>CONTEO GUIADO</t>
  </si>
  <si>
    <t>RECONTEO</t>
  </si>
  <si>
    <t>CÍCLICO</t>
  </si>
  <si>
    <t>GENERAL</t>
  </si>
  <si>
    <t>TiposMovimiento</t>
  </si>
  <si>
    <t>INGRESO</t>
  </si>
  <si>
    <t>REUBICACIÓN</t>
  </si>
  <si>
    <t>CONSUMO</t>
  </si>
  <si>
    <t>TRASLADO</t>
  </si>
  <si>
    <t>SALIDA</t>
  </si>
  <si>
    <t>DEVOLUCIÓN</t>
  </si>
  <si>
    <t>AJUSTE DOCUMENTADO</t>
  </si>
  <si>
    <t>EstadosOperacion</t>
  </si>
  <si>
    <t>EN CURSO</t>
  </si>
  <si>
    <t>PENDIENTE</t>
  </si>
  <si>
    <t>POR VALIDAR</t>
  </si>
  <si>
    <t>Condiciones</t>
  </si>
  <si>
    <t>CONFORME</t>
  </si>
  <si>
    <t>DAÑADO</t>
  </si>
  <si>
    <t>VENCIDO</t>
  </si>
  <si>
    <t>PRÓXIMO A VENCER</t>
  </si>
  <si>
    <t>CUARENTENA</t>
  </si>
  <si>
    <t>FRÍO FUERA DE RANGO</t>
  </si>
  <si>
    <t>NO CONFORME</t>
  </si>
  <si>
    <t>Decisiones</t>
  </si>
  <si>
    <t>ACEPTAR</t>
  </si>
  <si>
    <t>ACEPTAR PARCIAL</t>
  </si>
  <si>
    <t>RECHAZAR</t>
  </si>
  <si>
    <t>DEVOLVER</t>
  </si>
  <si>
    <t>CORREGIR</t>
  </si>
  <si>
    <t>TiposCalidadMerma</t>
  </si>
  <si>
    <t>CONTROL DE CALIDAD</t>
  </si>
  <si>
    <t>TEMPERATURA</t>
  </si>
  <si>
    <t>VENCIMIENTO</t>
  </si>
  <si>
    <t>MERMA</t>
  </si>
  <si>
    <t>PÉRDIDA</t>
  </si>
  <si>
    <t>REPROCESO</t>
  </si>
  <si>
    <t>Disposiciones</t>
  </si>
  <si>
    <t>LIBERAR</t>
  </si>
  <si>
    <t>RETENER</t>
  </si>
  <si>
    <t>REPROCESAR</t>
  </si>
  <si>
    <t>DESECHAR</t>
  </si>
  <si>
    <t>INVESTIGAR</t>
  </si>
  <si>
    <t>PerfilesEstacion</t>
  </si>
  <si>
    <t>CENTRO DE PRODUCCIÓN</t>
  </si>
  <si>
    <t>ESCÁNER DE ALMACÉN</t>
  </si>
  <si>
    <t>RECEPCIÓN Y MEDICIÓN</t>
  </si>
  <si>
    <t>DESPACHO Y ENTREGA</t>
  </si>
  <si>
    <t>POOL MÓVIL</t>
  </si>
  <si>
    <t>PANTALLA DE OBSERVACIÓN</t>
  </si>
  <si>
    <t>HOST DE PERIFÉRICOS</t>
  </si>
  <si>
    <t>EstadosRegistro</t>
  </si>
  <si>
    <t>PENDIENTE DE DEFINIR</t>
  </si>
  <si>
    <t>ACTIVO</t>
  </si>
  <si>
    <t>INACTIVO</t>
  </si>
  <si>
    <t>BLOQUEADO</t>
  </si>
  <si>
    <t>TiposRetornable</t>
  </si>
  <si>
    <t>CANASTILLA</t>
  </si>
  <si>
    <t>CAJA</t>
  </si>
  <si>
    <t>CONTENEDOR</t>
  </si>
  <si>
    <t>BANDEJA</t>
  </si>
  <si>
    <t>GARRAFA</t>
  </si>
  <si>
    <t>LPN</t>
  </si>
  <si>
    <t>OTRO</t>
  </si>
  <si>
    <t>EstadosCalidad</t>
  </si>
  <si>
    <t>LIBERADO</t>
  </si>
  <si>
    <t>RETENIDO</t>
  </si>
  <si>
    <t>RECHAZADO</t>
  </si>
  <si>
    <t>CORREGIDO</t>
  </si>
  <si>
    <t>SiNo</t>
  </si>
  <si>
    <t>SÍ</t>
  </si>
  <si>
    <t>NO</t>
  </si>
  <si>
    <t>MetodosRecepcion</t>
  </si>
  <si>
    <t>CONTEO</t>
  </si>
  <si>
    <t>PESO</t>
  </si>
  <si>
    <t>VOLUMEN</t>
  </si>
  <si>
    <t>ESCANEO</t>
  </si>
  <si>
    <t>MIXTO</t>
  </si>
  <si>
    <t>Catálogo maestro del piloto</t>
  </si>
  <si>
    <t>Define producto, presentación y unidad sin mezclar conceptos. Los diez códigos iniciales son espacios del piloto, no datos productivos.</t>
  </si>
  <si>
    <t>Completa primero nombre, categoría, presentación y unidades. No reutilices un producto_id para otro producto.</t>
  </si>
  <si>
    <t>producto_id</t>
  </si>
  <si>
    <t>nombre_producto</t>
  </si>
  <si>
    <t>categoria</t>
  </si>
  <si>
    <t>presentacion_id</t>
  </si>
  <si>
    <t>presentacion</t>
  </si>
  <si>
    <t>unidad_base</t>
  </si>
  <si>
    <t>unidad_operativa</t>
  </si>
  <si>
    <t>factor_conversion</t>
  </si>
  <si>
    <t>controla_lote</t>
  </si>
  <si>
    <t>controla_vencimiento</t>
  </si>
  <si>
    <t>controla_frio</t>
  </si>
  <si>
    <t>temperatura_min_c</t>
  </si>
  <si>
    <t>temperatura_max_c</t>
  </si>
  <si>
    <t>es_retornable</t>
  </si>
  <si>
    <t>proveedor_referencia</t>
  </si>
  <si>
    <t>estado_registro</t>
  </si>
  <si>
    <t>fecha_alta</t>
  </si>
  <si>
    <t>responsable</t>
  </si>
  <si>
    <t>observaciones</t>
  </si>
  <si>
    <t>PILOTO-PROD-001</t>
  </si>
  <si>
    <t>PILOTO-PROD-002</t>
  </si>
  <si>
    <t>PILOTO-PROD-003</t>
  </si>
  <si>
    <t>PILOTO-PROD-004</t>
  </si>
  <si>
    <t>PILOTO-PROD-005</t>
  </si>
  <si>
    <t>PILOTO-PROD-006</t>
  </si>
  <si>
    <t>PILOTO-PROD-007</t>
  </si>
  <si>
    <t>PILOTO-PROD-008</t>
  </si>
  <si>
    <t>PILOTO-PROD-009</t>
  </si>
  <si>
    <t>PILOTO-PROD-010</t>
  </si>
  <si>
    <t>Sedes y ubicaciones físicas</t>
  </si>
  <si>
    <t>Ubica cada movimiento en una sede y LOC concreta. Las ubicaciones propuestas deben validarse físicamente antes de marcarse ACTIVAS.</t>
  </si>
  <si>
    <t>Recorre cada sede, completa área/zona/punto y valida si permite inventario o requiere control de frío.</t>
  </si>
  <si>
    <t>ubicacion_id</t>
  </si>
  <si>
    <t>sede</t>
  </si>
  <si>
    <t>area</t>
  </si>
  <si>
    <t>zona</t>
  </si>
  <si>
    <t>punto</t>
  </si>
  <si>
    <t>tipo_ubicacion</t>
  </si>
  <si>
    <t>permite_inventario</t>
  </si>
  <si>
    <t>requiere_frio</t>
  </si>
  <si>
    <t>LOC-CP-REC</t>
  </si>
  <si>
    <t>Recepción</t>
  </si>
  <si>
    <t>RECEPCIÓN</t>
  </si>
  <si>
    <t>LOC-CP-ALM</t>
  </si>
  <si>
    <t>Almacén</t>
  </si>
  <si>
    <t>ALMACÉN</t>
  </si>
  <si>
    <t>LOC-CP-PRO</t>
  </si>
  <si>
    <t>Producción</t>
  </si>
  <si>
    <t>PRODUCCIÓN</t>
  </si>
  <si>
    <t>LOC-CP-DES</t>
  </si>
  <si>
    <t>Despacho</t>
  </si>
  <si>
    <t>DESPACHO</t>
  </si>
  <si>
    <t>LOC-VC-ALM</t>
  </si>
  <si>
    <t>SATÉLITE</t>
  </si>
  <si>
    <t>LOC-SAU-ALM</t>
  </si>
  <si>
    <t>LOC-MOL-ALM</t>
  </si>
  <si>
    <t>Solicitudes internas de abastecimiento</t>
  </si>
  <si>
    <t>Una fila representa una línea de producto. Un mismo solicitud_id puede repetirse en varias líneas.</t>
  </si>
  <si>
    <t>Registra lo solicitado y lo aprobado por separado; nunca sustituyas la cantidad original para ocultar cambios.</t>
  </si>
  <si>
    <t>solicitud_id</t>
  </si>
  <si>
    <t>fecha_solicitud</t>
  </si>
  <si>
    <t>solicitante</t>
  </si>
  <si>
    <t>ubicacion_origen</t>
  </si>
  <si>
    <t>ubicacion_destino</t>
  </si>
  <si>
    <t>prioridad</t>
  </si>
  <si>
    <t>estado</t>
  </si>
  <si>
    <t>cantidad_solicitada</t>
  </si>
  <si>
    <t>cantidad_aprobada</t>
  </si>
  <si>
    <t>aprobacion_pct</t>
  </si>
  <si>
    <t>fecha_necesidad</t>
  </si>
  <si>
    <t>responsable_aprobacion</t>
  </si>
  <si>
    <t>Preparación, despacho y recepción de remisiones</t>
  </si>
  <si>
    <t>La remisión documenta la operación; no reemplaza el movimiento de inventario. Conserva solicitado, aprobado, preparado, cargado, despachado y recibido.</t>
  </si>
  <si>
    <t>Cambia el estado según el hecho real y adjunta evidencia. La cantidad recibida se calcula desde la hoja de recepciones.</t>
  </si>
  <si>
    <t>remision_id</t>
  </si>
  <si>
    <t>fecha_despacho</t>
  </si>
  <si>
    <t>lote</t>
  </si>
  <si>
    <t>fecha_vencimiento</t>
  </si>
  <si>
    <t>cantidad_preparada</t>
  </si>
  <si>
    <t>cantidad_cargada</t>
  </si>
  <si>
    <t>cantidad_despachada</t>
  </si>
  <si>
    <t>cantidad_recibida</t>
  </si>
  <si>
    <t>diferencia_recepcion</t>
  </si>
  <si>
    <t>cumplimiento_pct</t>
  </si>
  <si>
    <t>custodio_salida</t>
  </si>
  <si>
    <t>custodio_recepcion</t>
  </si>
  <si>
    <t>evidencia</t>
  </si>
  <si>
    <t>Recepción física y conformidad</t>
  </si>
  <si>
    <t>Registra el hecho observado: cantidad, condición, temperatura y evidencia. La recepción no debe sobrescribir lo despachado.</t>
  </si>
  <si>
    <t>Si existe no conformidad, conserva la cantidad y registra la decisión: cuarentena, rechazo, devolución o corrección.</t>
  </si>
  <si>
    <t>recepcion_id</t>
  </si>
  <si>
    <t>fecha_recepcion</t>
  </si>
  <si>
    <t>metodo_recepcion</t>
  </si>
  <si>
    <t>cantidad_conforme</t>
  </si>
  <si>
    <t>cantidad_no_conforme</t>
  </si>
  <si>
    <t>temperatura_c</t>
  </si>
  <si>
    <t>condicion</t>
  </si>
  <si>
    <t>decision</t>
  </si>
  <si>
    <t>Sesiones de conteo físico</t>
  </si>
  <si>
    <t>El conteo es una observación con corte, método y responsable. Una diferencia no modifica inventario por sí sola.</t>
  </si>
  <si>
    <t>Investiga toda diferencia y vincula un documento de ajuste independiente solo cuando corresponda.</t>
  </si>
  <si>
    <t>sesion_conteo_id</t>
  </si>
  <si>
    <t>fecha_corte</t>
  </si>
  <si>
    <t>metodo</t>
  </si>
  <si>
    <t>cantidad_sistema_referencia</t>
  </si>
  <si>
    <t>cantidad_contada</t>
  </si>
  <si>
    <t>diferencia</t>
  </si>
  <si>
    <t>investigacion</t>
  </si>
  <si>
    <t>documento_ajuste_id</t>
  </si>
  <si>
    <t>Movimientos físicos y custodia</t>
  </si>
  <si>
    <t>Registra ingresos, reubicaciones, consumos, traslados, salidas y devoluciones con origen, destino, lote y custodia.</t>
  </si>
  <si>
    <t>Todo ajuste debe estar documentado. No utilices un movimiento para corregir silenciosamente un conteo.</t>
  </si>
  <si>
    <t>movimiento_id</t>
  </si>
  <si>
    <t>fecha_movimiento</t>
  </si>
  <si>
    <t>tipo_movimiento</t>
  </si>
  <si>
    <t>cantidad</t>
  </si>
  <si>
    <t>custodio_entrada</t>
  </si>
  <si>
    <t>documento_relacionado_id</t>
  </si>
  <si>
    <t>Producción, rendimiento y trazabilidad</t>
  </si>
  <si>
    <t>Conserva receta/version, insumos reales, lote de salida, resultado, reproceso y merma. Terminado no significa liberado.</t>
  </si>
  <si>
    <t>Registra una fila por combinación de orden e insumo/salida. Calidad decide la liberación en un estado separado.</t>
  </si>
  <si>
    <t>orden_produccion_id</t>
  </si>
  <si>
    <t>fecha_produccion</t>
  </si>
  <si>
    <t>receta_id</t>
  </si>
  <si>
    <t>version_receta</t>
  </si>
  <si>
    <t>lote_salida</t>
  </si>
  <si>
    <t>estado_produccion</t>
  </si>
  <si>
    <t>estado_calidad</t>
  </si>
  <si>
    <t>producto_insumo_id</t>
  </si>
  <si>
    <t>lote_insumo</t>
  </si>
  <si>
    <t>unidad_insumo</t>
  </si>
  <si>
    <t>cantidad_insumo</t>
  </si>
  <si>
    <t>producto_salida_id</t>
  </si>
  <si>
    <t>unidad_salida</t>
  </si>
  <si>
    <t>salida_total</t>
  </si>
  <si>
    <t>salida_buena</t>
  </si>
  <si>
    <t>reproceso</t>
  </si>
  <si>
    <t>merma</t>
  </si>
  <si>
    <t>rendimiento_pct</t>
  </si>
  <si>
    <t>Calidad, frío, vencimientos y mermas</t>
  </si>
  <si>
    <t>Registra condición, temperatura, cantidad afectada y disposición sin borrar el hecho original.</t>
  </si>
  <si>
    <t>La cuarentena, liberación, rechazo, reproceso o desecho deben quedar explícitos y con evidencia.</t>
  </si>
  <si>
    <t>evento_id</t>
  </si>
  <si>
    <t>fecha_evento</t>
  </si>
  <si>
    <t>tipo_evento</t>
  </si>
  <si>
    <t>cantidad_afectada</t>
  </si>
  <si>
    <t>disposicion</t>
  </si>
  <si>
    <t>Retornables, LPN y custodia</t>
  </si>
  <si>
    <t>Controla canastillas, cajas, contenedores y otras unidades retornables como activos en custodia.</t>
  </si>
  <si>
    <t>Registra salida y recepción por separado; investiga cualquier diferencia antes de cerrar.</t>
  </si>
  <si>
    <t>movimiento_retornable_id</t>
  </si>
  <si>
    <t>tipo_retornable</t>
  </si>
  <si>
    <t>unidad_identificada_lpn</t>
  </si>
  <si>
    <t>cantidad_salida</t>
  </si>
  <si>
    <t>Inventario de estaciones operativas</t>
  </si>
  <si>
    <t>Describe el puesto real: lugar, proceso, actor, movilidad, ambiente, dispositivo, sesión, periféricos, infraestructura y contingencia.</t>
  </si>
  <si>
    <t>Haz el recorrido físico y registra evidencia. No marques ACTIVO sin validar conectividad, energía y forma de contingencia.</t>
  </si>
  <si>
    <t>estacion_id</t>
  </si>
  <si>
    <t>perfil_estacion</t>
  </si>
  <si>
    <t>proceso_principal</t>
  </si>
  <si>
    <t>actor_principal</t>
  </si>
  <si>
    <t>picos_operativos</t>
  </si>
  <si>
    <t>movilidad</t>
  </si>
  <si>
    <t>interaccion_ambiental</t>
  </si>
  <si>
    <t>dispositivo</t>
  </si>
  <si>
    <t>tipo_sesion</t>
  </si>
  <si>
    <t>perifericos</t>
  </si>
  <si>
    <t>infraestructura</t>
  </si>
  <si>
    <t>contingencia</t>
  </si>
  <si>
    <t>Panel operativo del piloto</t>
  </si>
  <si>
    <t>Indicadores automáticos para priorizar pendientes. Un cero significa que no hay registros o alertas en la plantilla.</t>
  </si>
  <si>
    <t>Pulsa ACTUALIZAR para recalcular. Revisa primero diferencias, tránsito, calidad y estaciones pendientes.</t>
  </si>
  <si>
    <t>ESTADO OPERATIVO</t>
  </si>
  <si>
    <t>Productos activos</t>
  </si>
  <si>
    <t>Solicitudes abiertas</t>
  </si>
  <si>
    <t>Remisiones en tránsito</t>
  </si>
  <si>
    <t>Diferencias recepción</t>
  </si>
  <si>
    <t>Diferencias de conteo</t>
  </si>
  <si>
    <t>Alertas calidad</t>
  </si>
  <si>
    <t>Estaciones por validar</t>
  </si>
  <si>
    <t>Rendimiento promedio</t>
  </si>
  <si>
    <t>VENTO · OPERACIÓN PILOTO</t>
  </si>
  <si>
    <t>Libro local para preparar Centro de Producción y satélites con la misma lógica futura de NEXO. No actualiza Supabase ni certifica implementación.</t>
  </si>
  <si>
    <t>FLUJO DIARIO RECOMENDADO</t>
  </si>
  <si>
    <t>1. Completa catálogos y valida ubicaciones.</t>
  </si>
  <si>
    <t>2. Registra la solicitud sin reemplazar cantidades.</t>
  </si>
  <si>
    <t>3. Prepara y despacha la remisión por etapas.</t>
  </si>
  <si>
    <t>4. Recibe físicamente y documenta diferencias.</t>
  </si>
  <si>
    <t>5. Registra movimientos, conteos y producción.</t>
  </si>
  <si>
    <t>6. Revisa el panel y cierra solo con evidencia.</t>
  </si>
  <si>
    <t>REGLAS QUE EVITAN PÉRDIDA DE INFORMACIÓN</t>
  </si>
  <si>
    <t>• Un código estable nunca se reutiliza.</t>
  </si>
  <si>
    <t>• Una fila representa un hecho o línea.</t>
  </si>
  <si>
    <t>• No borres: corrige con documento relacionado.</t>
  </si>
  <si>
    <t>• Conteo y ajuste son hechos distintos.</t>
  </si>
  <si>
    <t>• Terminado y liberado son estados distintos.</t>
  </si>
  <si>
    <t>• No guardes claves, PIN, pagos ni datos sensibles.</t>
  </si>
  <si>
    <t>ABRIR MÓDULO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</si>
</sst>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#,000"/>
    <numFmt numFmtId="166" formatCode="#,#0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20"/>
      <color rgb="FFFFFFFF"/>
      <name val="Aptos"/>
      <family val="2"/>
    </font>
    <font>
      <sz val="11"/>
      <color rgb="FF25313C"/>
      <name val="Aptos"/>
      <family val="2"/>
    </font>
    <font>
      <i/>
      <sz val="10"/>
      <color rgb="FF25313C"/>
      <name val="Aptos"/>
      <family val="2"/>
    </font>
    <font>
      <sz val="10"/>
      <color rgb="FF152F4A"/>
      <name val="Aptos"/>
      <family val="2"/>
    </font>
    <font>
      <sz val="10"/>
      <color rgb="FF5B6A78"/>
      <name val="Aptos"/>
      <family val="2"/>
    </font>
    <font>
      <b/>
      <sz val="23"/>
      <color rgb="FF1F6AA6"/>
      <name val="Aptos"/>
      <family val="2"/>
    </font>
    <font>
      <b/>
      <sz val="23"/>
      <color rgb="FF148480"/>
      <name val="Aptos"/>
      <family val="2"/>
    </font>
    <font>
      <b/>
      <sz val="23"/>
      <color rgb="FFE67E22"/>
      <name val="Aptos"/>
      <family val="2"/>
    </font>
    <font>
      <b/>
      <sz val="23"/>
      <color rgb="FFC0392B"/>
      <name val="Aptos"/>
      <family val="2"/>
    </font>
    <font>
      <b/>
      <sz val="23"/>
      <color rgb="FF27845E"/>
      <name val="Aptos"/>
      <family val="2"/>
    </font>
    <font>
      <b/>
      <sz val="11"/>
      <color rgb="FFFFFFFF"/>
      <name val="Aptos"/>
      <family val="2"/>
    </font>
    <font>
      <b/>
      <sz val="27"/>
      <color rgb="FFFFFFFF"/>
      <name val="Aptos"/>
      <family val="2"/>
    </font>
    <font>
      <sz val="12"/>
      <color rgb="FF25313C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52F4A"/>
        <bgColor indexed="64"/>
      </patternFill>
    </fill>
    <fill>
      <patternFill patternType="solid">
        <fgColor rgb="FFE2EFFA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1F6AA6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EBF6FF"/>
        <bgColor indexed="64"/>
      </patternFill>
    </fill>
    <fill>
      <patternFill patternType="solid">
        <fgColor rgb="FF14848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7E22"/>
        <bgColor indexed="64"/>
      </patternFill>
    </fill>
  </fills>
  <borders count="13">
    <border>
      <left/>
      <right/>
      <top/>
      <bottom/>
      <diagonal/>
    </border>
    <border>
      <left style="thin">
        <color rgb="FFD9E1E8"/>
      </left>
      <right/>
      <top/>
      <bottom/>
      <diagonal/>
    </border>
    <border>
      <left style="thin">
        <color rgb="FFD9E1E8"/>
      </left>
      <right/>
      <top style="thin">
        <color rgb="FFD9E1E8"/>
      </top>
      <bottom/>
      <diagonal/>
    </border>
    <border>
      <left style="thin">
        <color rgb="FFD9E1E8"/>
      </left>
      <right/>
      <top style="thin">
        <color rgb="FFD9E1E8"/>
      </top>
      <bottom style="thin">
        <color rgb="FFD9E1E8"/>
      </bottom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/>
      <bottom/>
      <diagonal/>
    </border>
    <border>
      <left/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/>
      <top/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3" fillId="5" borderId="7" xfId="0" applyFont="1" applyFill="1" applyBorder="1" applyAlignment="1">
      <alignment horizontal="center" vertical="center" wrapText="1"/>
    </xf>
    <xf numFmtId="165" fontId="3" fillId="5" borderId="7" xfId="0" applyNumberFormat="1" applyFont="1" applyFill="1" applyBorder="1" applyAlignment="1">
      <alignment horizontal="center" vertical="center" wrapText="1"/>
    </xf>
    <xf numFmtId="164" fontId="3" fillId="5" borderId="7" xfId="0" applyNumberFormat="1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vertical="center" wrapText="1"/>
    </xf>
    <xf numFmtId="165" fontId="2" fillId="6" borderId="4" xfId="0" applyNumberFormat="1" applyFont="1" applyFill="1" applyBorder="1" applyAlignment="1">
      <alignment vertical="center" wrapText="1"/>
    </xf>
    <xf numFmtId="164" fontId="2" fillId="6" borderId="4" xfId="0" applyNumberFormat="1" applyFont="1" applyFill="1" applyBorder="1" applyAlignment="1">
      <alignment vertical="center" wrapText="1"/>
    </xf>
    <xf numFmtId="0" fontId="2" fillId="6" borderId="3" xfId="0" applyFont="1" applyFill="1" applyBorder="1" applyAlignment="1">
      <alignment vertical="center" wrapText="1"/>
    </xf>
    <xf numFmtId="0" fontId="2" fillId="6" borderId="11" xfId="0" applyFont="1" applyFill="1" applyBorder="1" applyAlignment="1">
      <alignment vertical="center" wrapText="1"/>
    </xf>
    <xf numFmtId="165" fontId="2" fillId="6" borderId="11" xfId="0" applyNumberFormat="1" applyFont="1" applyFill="1" applyBorder="1" applyAlignment="1">
      <alignment vertical="center" wrapText="1"/>
    </xf>
    <xf numFmtId="164" fontId="2" fillId="6" borderId="11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3" fillId="5" borderId="6" xfId="0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horizontal="left" vertical="center" wrapText="1"/>
    </xf>
    <xf numFmtId="0" fontId="2" fillId="6" borderId="10" xfId="0" applyFont="1" applyFill="1" applyBorder="1" applyAlignment="1">
      <alignment horizontal="left" vertical="center" wrapText="1"/>
    </xf>
    <xf numFmtId="166" fontId="3" fillId="5" borderId="7" xfId="0" applyNumberFormat="1" applyFont="1" applyFill="1" applyBorder="1" applyAlignment="1">
      <alignment horizontal="center" vertical="center" wrapText="1"/>
    </xf>
    <xf numFmtId="166" fontId="7" fillId="7" borderId="11" xfId="0" applyNumberFormat="1" applyFont="1" applyFill="1" applyBorder="1" applyAlignment="1">
      <alignment vertical="center" wrapText="1"/>
    </xf>
    <xf numFmtId="165" fontId="7" fillId="7" borderId="11" xfId="0" applyNumberFormat="1" applyFont="1" applyFill="1" applyBorder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8" fillId="9" borderId="2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1" fontId="9" fillId="9" borderId="5" xfId="0" applyNumberFormat="1" applyFont="1" applyFill="1" applyBorder="1" applyAlignment="1">
      <alignment horizontal="center" vertical="center" wrapText="1"/>
    </xf>
    <xf numFmtId="1" fontId="9" fillId="9" borderId="8" xfId="0" applyNumberFormat="1" applyFont="1" applyFill="1" applyBorder="1" applyAlignment="1">
      <alignment horizontal="center" vertical="center" wrapText="1"/>
    </xf>
    <xf numFmtId="1" fontId="9" fillId="9" borderId="6" xfId="0" applyNumberFormat="1" applyFont="1" applyFill="1" applyBorder="1" applyAlignment="1">
      <alignment horizontal="center" vertical="center" wrapText="1"/>
    </xf>
    <xf numFmtId="1" fontId="10" fillId="9" borderId="1" xfId="0" applyNumberFormat="1" applyFont="1" applyFill="1" applyBorder="1" applyAlignment="1">
      <alignment horizontal="center" vertical="center" wrapText="1"/>
    </xf>
    <xf numFmtId="1" fontId="10" fillId="9" borderId="5" xfId="0" applyNumberFormat="1" applyFont="1" applyFill="1" applyBorder="1" applyAlignment="1">
      <alignment horizontal="center" vertical="center" wrapText="1"/>
    </xf>
    <xf numFmtId="1" fontId="10" fillId="9" borderId="8" xfId="0" applyNumberFormat="1" applyFont="1" applyFill="1" applyBorder="1" applyAlignment="1">
      <alignment horizontal="center" vertical="center" wrapText="1"/>
    </xf>
    <xf numFmtId="1" fontId="10" fillId="9" borderId="6" xfId="0" applyNumberFormat="1" applyFont="1" applyFill="1" applyBorder="1" applyAlignment="1">
      <alignment horizontal="center" vertical="center" wrapText="1"/>
    </xf>
    <xf numFmtId="1" fontId="11" fillId="9" borderId="1" xfId="0" applyNumberFormat="1" applyFont="1" applyFill="1" applyBorder="1" applyAlignment="1">
      <alignment horizontal="center" vertical="center" wrapText="1"/>
    </xf>
    <xf numFmtId="1" fontId="11" fillId="9" borderId="5" xfId="0" applyNumberFormat="1" applyFont="1" applyFill="1" applyBorder="1" applyAlignment="1">
      <alignment horizontal="center" vertical="center" wrapText="1"/>
    </xf>
    <xf numFmtId="1" fontId="11" fillId="9" borderId="8" xfId="0" applyNumberFormat="1" applyFont="1" applyFill="1" applyBorder="1" applyAlignment="1">
      <alignment horizontal="center" vertical="center" wrapText="1"/>
    </xf>
    <xf numFmtId="1" fontId="11" fillId="9" borderId="6" xfId="0" applyNumberFormat="1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 wrapText="1"/>
    </xf>
    <xf numFmtId="1" fontId="12" fillId="9" borderId="5" xfId="0" applyNumberFormat="1" applyFont="1" applyFill="1" applyBorder="1" applyAlignment="1">
      <alignment horizontal="center" vertical="center" wrapText="1"/>
    </xf>
    <xf numFmtId="1" fontId="12" fillId="9" borderId="8" xfId="0" applyNumberFormat="1" applyFont="1" applyFill="1" applyBorder="1" applyAlignment="1">
      <alignment horizontal="center" vertical="center" wrapText="1"/>
    </xf>
    <xf numFmtId="1" fontId="12" fillId="9" borderId="6" xfId="0" applyNumberFormat="1" applyFont="1" applyFill="1" applyBorder="1" applyAlignment="1">
      <alignment horizontal="center" vertical="center" wrapText="1"/>
    </xf>
    <xf numFmtId="166" fontId="13" fillId="9" borderId="1" xfId="0" applyNumberFormat="1" applyFont="1" applyFill="1" applyBorder="1" applyAlignment="1">
      <alignment horizontal="center" vertical="center" wrapText="1"/>
    </xf>
    <xf numFmtId="166" fontId="13" fillId="9" borderId="5" xfId="0" applyNumberFormat="1" applyFont="1" applyFill="1" applyBorder="1" applyAlignment="1">
      <alignment horizontal="center" vertical="center" wrapText="1"/>
    </xf>
    <xf numFmtId="166" fontId="13" fillId="9" borderId="8" xfId="0" applyNumberFormat="1" applyFont="1" applyFill="1" applyBorder="1" applyAlignment="1">
      <alignment horizontal="center" vertical="center" wrapText="1"/>
    </xf>
    <xf numFmtId="166" fontId="13" fillId="9" borderId="6" xfId="0" applyNumberFormat="1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wrapText="1"/>
    </xf>
    <xf numFmtId="0" fontId="14" fillId="8" borderId="4" xfId="0" applyFont="1" applyFill="1" applyBorder="1" applyAlignment="1">
      <alignment horizontal="center"/>
    </xf>
    <xf numFmtId="0" fontId="5" fillId="9" borderId="4" xfId="0" applyFont="1" applyFill="1" applyBorder="1"/>
    <xf numFmtId="0" fontId="5" fillId="10" borderId="4" xfId="0" applyFont="1" applyFill="1" applyBorder="1"/>
    <xf numFmtId="0" fontId="14" fillId="11" borderId="4" xfId="0" applyFont="1" applyFill="1" applyBorder="1" applyAlignment="1">
      <alignment horizontal="center"/>
    </xf>
    <xf numFmtId="0" fontId="5" fillId="4" borderId="4" xfId="0" applyFont="1" applyFill="1" applyBorder="1"/>
    <xf numFmtId="0" fontId="14" fillId="2" borderId="0" xfId="0" applyFont="1" applyFill="1" applyAlignment="1">
      <alignment horizontal="center"/>
    </xf>
  </cellXfs>
  <cellStyles count="1"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>
        <bottom style="thin">
          <color rgb="FFD9E1E8"/>
        </bottom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Pendientes y alertas 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'12_PANEL'!$B$18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'12_PANEL'!$A$19:$A$23</c:f>
              <c:numCache>
                <c:formatCode>General</c:formatCode>
                <c:ptCount val="5"/>
              </c:numCache>
            </c:numRef>
          </c:cat>
          <c:val>
            <c:numRef>
              <c:f>'12_PANEL'!$B$19:$B$23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A-4861-AE69-F0C13B188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37519"/>
        <c:axId val="26272719"/>
      </c:barChart>
      <c:catAx>
        <c:axId val="2273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272719"/>
        <c:crosses val="autoZero"/>
        <c:auto val="1"/>
        <c:lblAlgn val="ctr"/>
        <c:lblOffset val="100"/>
        <c:noMultiLvlLbl val="0"/>
      </c:catAx>
      <c:valAx>
        <c:axId val="2627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3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16</xdr:row>
      <xdr:rowOff>152400</xdr:rowOff>
    </xdr:from>
    <xdr:to>
      <xdr:col>3</xdr:col>
      <xdr:colOff>609600</xdr:colOff>
      <xdr:row>18</xdr:row>
      <xdr:rowOff>88900</xdr:rowOff>
    </xdr:to>
    <xdr:sp macro="IrAHoja" textlink="">
      <xdr:nvSpPr>
        <xdr:cNvPr id="2" name="btn_CAT_LOGOS_14" descr="01_CATALOGOS">
          <a:extLst>
            <a:ext uri="{FF2B5EF4-FFF2-40B4-BE49-F238E27FC236}">
              <a16:creationId xmlns:a16="http://schemas.microsoft.com/office/drawing/2014/main" id="{36A78E8E-C96C-A25F-FB44-43F41FF96344}"/>
            </a:ext>
          </a:extLst>
        </xdr:cNvPr>
        <xdr:cNvSpPr/>
      </xdr:nvSpPr>
      <xdr:spPr>
        <a:xfrm>
          <a:off x="2286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CATÁLOGOS</a:t>
          </a:r>
        </a:p>
      </xdr:txBody>
    </xdr:sp>
    <xdr:clientData/>
  </xdr:twoCellAnchor>
  <xdr:twoCellAnchor>
    <xdr:from>
      <xdr:col>4</xdr:col>
      <xdr:colOff>292100</xdr:colOff>
      <xdr:row>16</xdr:row>
      <xdr:rowOff>152400</xdr:rowOff>
    </xdr:from>
    <xdr:to>
      <xdr:col>7</xdr:col>
      <xdr:colOff>673100</xdr:colOff>
      <xdr:row>18</xdr:row>
      <xdr:rowOff>88900</xdr:rowOff>
    </xdr:to>
    <xdr:sp macro="IrAHoja" textlink="">
      <xdr:nvSpPr>
        <xdr:cNvPr id="3" name="btn_UBICACIONES_14" descr="02_UBICACIONES">
          <a:extLst>
            <a:ext uri="{FF2B5EF4-FFF2-40B4-BE49-F238E27FC236}">
              <a16:creationId xmlns:a16="http://schemas.microsoft.com/office/drawing/2014/main" id="{180FF94C-0375-CC38-33A1-F585565E30FD}"/>
            </a:ext>
          </a:extLst>
        </xdr:cNvPr>
        <xdr:cNvSpPr/>
      </xdr:nvSpPr>
      <xdr:spPr>
        <a:xfrm>
          <a:off x="33401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UBICACIONES</a:t>
          </a:r>
        </a:p>
      </xdr:txBody>
    </xdr:sp>
    <xdr:clientData/>
  </xdr:twoCellAnchor>
  <xdr:twoCellAnchor>
    <xdr:from>
      <xdr:col>8</xdr:col>
      <xdr:colOff>355600</xdr:colOff>
      <xdr:row>16</xdr:row>
      <xdr:rowOff>152400</xdr:rowOff>
    </xdr:from>
    <xdr:to>
      <xdr:col>11</xdr:col>
      <xdr:colOff>736600</xdr:colOff>
      <xdr:row>18</xdr:row>
      <xdr:rowOff>88900</xdr:rowOff>
    </xdr:to>
    <xdr:sp macro="IrAHoja" textlink="">
      <xdr:nvSpPr>
        <xdr:cNvPr id="4" name="btn_SOLICITUDES_14" descr="03_SOLICITUDES">
          <a:extLst>
            <a:ext uri="{FF2B5EF4-FFF2-40B4-BE49-F238E27FC236}">
              <a16:creationId xmlns:a16="http://schemas.microsoft.com/office/drawing/2014/main" id="{48244F1A-9EEA-E12F-77E5-4B8E345121B3}"/>
            </a:ext>
          </a:extLst>
        </xdr:cNvPr>
        <xdr:cNvSpPr/>
      </xdr:nvSpPr>
      <xdr:spPr>
        <a:xfrm>
          <a:off x="6451600" y="45720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SOLICITUDES</a:t>
          </a:r>
        </a:p>
      </xdr:txBody>
    </xdr:sp>
    <xdr:clientData/>
  </xdr:twoCellAnchor>
  <xdr:twoCellAnchor>
    <xdr:from>
      <xdr:col>0</xdr:col>
      <xdr:colOff>228600</xdr:colOff>
      <xdr:row>20</xdr:row>
      <xdr:rowOff>0</xdr:rowOff>
    </xdr:from>
    <xdr:to>
      <xdr:col>3</xdr:col>
      <xdr:colOff>609600</xdr:colOff>
      <xdr:row>21</xdr:row>
      <xdr:rowOff>127000</xdr:rowOff>
    </xdr:to>
    <xdr:sp macro="IrAHoja" textlink="">
      <xdr:nvSpPr>
        <xdr:cNvPr id="5" name="btn_REMISIONES_14" descr="04_REMISIONES">
          <a:extLst>
            <a:ext uri="{FF2B5EF4-FFF2-40B4-BE49-F238E27FC236}">
              <a16:creationId xmlns:a16="http://schemas.microsoft.com/office/drawing/2014/main" id="{D47C1B03-3847-BB22-FFB8-BBCF7DA6CA4A}"/>
            </a:ext>
          </a:extLst>
        </xdr:cNvPr>
        <xdr:cNvSpPr/>
      </xdr:nvSpPr>
      <xdr:spPr>
        <a:xfrm>
          <a:off x="2286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REMISIONES</a:t>
          </a:r>
        </a:p>
      </xdr:txBody>
    </xdr:sp>
    <xdr:clientData/>
  </xdr:twoCellAnchor>
  <xdr:twoCellAnchor>
    <xdr:from>
      <xdr:col>4</xdr:col>
      <xdr:colOff>292100</xdr:colOff>
      <xdr:row>20</xdr:row>
      <xdr:rowOff>0</xdr:rowOff>
    </xdr:from>
    <xdr:to>
      <xdr:col>7</xdr:col>
      <xdr:colOff>673100</xdr:colOff>
      <xdr:row>21</xdr:row>
      <xdr:rowOff>127000</xdr:rowOff>
    </xdr:to>
    <xdr:sp macro="IrAHoja" textlink="">
      <xdr:nvSpPr>
        <xdr:cNvPr id="6" name="btn_RECEPCIONES_14" descr="05_RECEPCIONES">
          <a:extLst>
            <a:ext uri="{FF2B5EF4-FFF2-40B4-BE49-F238E27FC236}">
              <a16:creationId xmlns:a16="http://schemas.microsoft.com/office/drawing/2014/main" id="{380FB0C3-557F-2672-87A8-60836A238F13}"/>
            </a:ext>
          </a:extLst>
        </xdr:cNvPr>
        <xdr:cNvSpPr/>
      </xdr:nvSpPr>
      <xdr:spPr>
        <a:xfrm>
          <a:off x="33401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RECEPCIONES</a:t>
          </a:r>
        </a:p>
      </xdr:txBody>
    </xdr:sp>
    <xdr:clientData/>
  </xdr:twoCellAnchor>
  <xdr:twoCellAnchor>
    <xdr:from>
      <xdr:col>8</xdr:col>
      <xdr:colOff>355600</xdr:colOff>
      <xdr:row>20</xdr:row>
      <xdr:rowOff>0</xdr:rowOff>
    </xdr:from>
    <xdr:to>
      <xdr:col>11</xdr:col>
      <xdr:colOff>736600</xdr:colOff>
      <xdr:row>21</xdr:row>
      <xdr:rowOff>127000</xdr:rowOff>
    </xdr:to>
    <xdr:sp macro="IrAHoja" textlink="">
      <xdr:nvSpPr>
        <xdr:cNvPr id="7" name="btn_CONTEOS_14" descr="06_CONTEOS">
          <a:extLst>
            <a:ext uri="{FF2B5EF4-FFF2-40B4-BE49-F238E27FC236}">
              <a16:creationId xmlns:a16="http://schemas.microsoft.com/office/drawing/2014/main" id="{160238F8-4E70-3621-9061-BB7FE61426E5}"/>
            </a:ext>
          </a:extLst>
        </xdr:cNvPr>
        <xdr:cNvSpPr/>
      </xdr:nvSpPr>
      <xdr:spPr>
        <a:xfrm>
          <a:off x="6451600" y="51816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CONTEOS</a:t>
          </a:r>
        </a:p>
      </xdr:txBody>
    </xdr:sp>
    <xdr:clientData/>
  </xdr:twoCellAnchor>
  <xdr:twoCellAnchor>
    <xdr:from>
      <xdr:col>0</xdr:col>
      <xdr:colOff>228600</xdr:colOff>
      <xdr:row>23</xdr:row>
      <xdr:rowOff>38100</xdr:rowOff>
    </xdr:from>
    <xdr:to>
      <xdr:col>3</xdr:col>
      <xdr:colOff>609600</xdr:colOff>
      <xdr:row>24</xdr:row>
      <xdr:rowOff>165100</xdr:rowOff>
    </xdr:to>
    <xdr:sp macro="IrAHoja" textlink="">
      <xdr:nvSpPr>
        <xdr:cNvPr id="8" name="btn_MOVIMIENTOS_14" descr="07_MOVIMIENTOS">
          <a:extLst>
            <a:ext uri="{FF2B5EF4-FFF2-40B4-BE49-F238E27FC236}">
              <a16:creationId xmlns:a16="http://schemas.microsoft.com/office/drawing/2014/main" id="{E95DC0A9-2C53-FD9C-8826-5CF25D73B4FF}"/>
            </a:ext>
          </a:extLst>
        </xdr:cNvPr>
        <xdr:cNvSpPr/>
      </xdr:nvSpPr>
      <xdr:spPr>
        <a:xfrm>
          <a:off x="2286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MOVIMIENTOS</a:t>
          </a:r>
        </a:p>
      </xdr:txBody>
    </xdr:sp>
    <xdr:clientData/>
  </xdr:twoCellAnchor>
  <xdr:twoCellAnchor>
    <xdr:from>
      <xdr:col>4</xdr:col>
      <xdr:colOff>292100</xdr:colOff>
      <xdr:row>23</xdr:row>
      <xdr:rowOff>38100</xdr:rowOff>
    </xdr:from>
    <xdr:to>
      <xdr:col>7</xdr:col>
      <xdr:colOff>673100</xdr:colOff>
      <xdr:row>24</xdr:row>
      <xdr:rowOff>165100</xdr:rowOff>
    </xdr:to>
    <xdr:sp macro="IrAHoja" textlink="">
      <xdr:nvSpPr>
        <xdr:cNvPr id="9" name="btn_PRODUCCI_N_14" descr="08_PRODUCCION">
          <a:extLst>
            <a:ext uri="{FF2B5EF4-FFF2-40B4-BE49-F238E27FC236}">
              <a16:creationId xmlns:a16="http://schemas.microsoft.com/office/drawing/2014/main" id="{32EAB663-71CF-DD4C-F005-7F2877C27E23}"/>
            </a:ext>
          </a:extLst>
        </xdr:cNvPr>
        <xdr:cNvSpPr/>
      </xdr:nvSpPr>
      <xdr:spPr>
        <a:xfrm>
          <a:off x="33401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PRODUCCIÓN</a:t>
          </a:r>
        </a:p>
      </xdr:txBody>
    </xdr:sp>
    <xdr:clientData/>
  </xdr:twoCellAnchor>
  <xdr:twoCellAnchor>
    <xdr:from>
      <xdr:col>8</xdr:col>
      <xdr:colOff>355600</xdr:colOff>
      <xdr:row>23</xdr:row>
      <xdr:rowOff>38100</xdr:rowOff>
    </xdr:from>
    <xdr:to>
      <xdr:col>11</xdr:col>
      <xdr:colOff>736600</xdr:colOff>
      <xdr:row>24</xdr:row>
      <xdr:rowOff>165100</xdr:rowOff>
    </xdr:to>
    <xdr:sp macro="IrAHoja" textlink="">
      <xdr:nvSpPr>
        <xdr:cNvPr id="10" name="btn_CALIDAD_Y_MERMAS_14" descr="09_CALIDAD_MERMAS">
          <a:extLst>
            <a:ext uri="{FF2B5EF4-FFF2-40B4-BE49-F238E27FC236}">
              <a16:creationId xmlns:a16="http://schemas.microsoft.com/office/drawing/2014/main" id="{B92A273A-7B45-E549-1AC5-10EEABC64083}"/>
            </a:ext>
          </a:extLst>
        </xdr:cNvPr>
        <xdr:cNvSpPr/>
      </xdr:nvSpPr>
      <xdr:spPr>
        <a:xfrm>
          <a:off x="6451600" y="57912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CALIDAD Y MERMAS</a:t>
          </a:r>
        </a:p>
      </xdr:txBody>
    </xdr:sp>
    <xdr:clientData/>
  </xdr:twoCellAnchor>
  <xdr:twoCellAnchor>
    <xdr:from>
      <xdr:col>0</xdr:col>
      <xdr:colOff>228600</xdr:colOff>
      <xdr:row>26</xdr:row>
      <xdr:rowOff>76200</xdr:rowOff>
    </xdr:from>
    <xdr:to>
      <xdr:col>3</xdr:col>
      <xdr:colOff>609600</xdr:colOff>
      <xdr:row>28</xdr:row>
      <xdr:rowOff>12700</xdr:rowOff>
    </xdr:to>
    <xdr:sp macro="IrAHoja" textlink="">
      <xdr:nvSpPr>
        <xdr:cNvPr id="11" name="btn_RETORNABLES_14" descr="10_RETORNABLES">
          <a:extLst>
            <a:ext uri="{FF2B5EF4-FFF2-40B4-BE49-F238E27FC236}">
              <a16:creationId xmlns:a16="http://schemas.microsoft.com/office/drawing/2014/main" id="{5B8FFB21-B609-8091-D08E-9B09F5804DE5}"/>
            </a:ext>
          </a:extLst>
        </xdr:cNvPr>
        <xdr:cNvSpPr/>
      </xdr:nvSpPr>
      <xdr:spPr>
        <a:xfrm>
          <a:off x="228600" y="64008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RETORNABLES</a:t>
          </a:r>
        </a:p>
      </xdr:txBody>
    </xdr:sp>
    <xdr:clientData/>
  </xdr:twoCellAnchor>
  <xdr:twoCellAnchor>
    <xdr:from>
      <xdr:col>4</xdr:col>
      <xdr:colOff>292100</xdr:colOff>
      <xdr:row>26</xdr:row>
      <xdr:rowOff>76200</xdr:rowOff>
    </xdr:from>
    <xdr:to>
      <xdr:col>7</xdr:col>
      <xdr:colOff>673100</xdr:colOff>
      <xdr:row>28</xdr:row>
      <xdr:rowOff>12700</xdr:rowOff>
    </xdr:to>
    <xdr:sp macro="IrAHoja" textlink="">
      <xdr:nvSpPr>
        <xdr:cNvPr id="12" name="btn_ESTACIONES_14" descr="11_ESTACIONES">
          <a:extLst>
            <a:ext uri="{FF2B5EF4-FFF2-40B4-BE49-F238E27FC236}">
              <a16:creationId xmlns:a16="http://schemas.microsoft.com/office/drawing/2014/main" id="{F680C7E5-2912-04C8-DE94-529D34A875C2}"/>
            </a:ext>
          </a:extLst>
        </xdr:cNvPr>
        <xdr:cNvSpPr/>
      </xdr:nvSpPr>
      <xdr:spPr>
        <a:xfrm>
          <a:off x="3340100" y="64008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ESTACIONES</a:t>
          </a:r>
        </a:p>
      </xdr:txBody>
    </xdr:sp>
    <xdr:clientData/>
  </xdr:twoCellAnchor>
  <xdr:twoCellAnchor>
    <xdr:from>
      <xdr:col>8</xdr:col>
      <xdr:colOff>355600</xdr:colOff>
      <xdr:row>26</xdr:row>
      <xdr:rowOff>76200</xdr:rowOff>
    </xdr:from>
    <xdr:to>
      <xdr:col>11</xdr:col>
      <xdr:colOff>736600</xdr:colOff>
      <xdr:row>28</xdr:row>
      <xdr:rowOff>12700</xdr:rowOff>
    </xdr:to>
    <xdr:sp macro="IrAHoja" textlink="">
      <xdr:nvSpPr>
        <xdr:cNvPr id="13" name="btn_PANEL_14" descr="12_PANEL">
          <a:extLst>
            <a:ext uri="{FF2B5EF4-FFF2-40B4-BE49-F238E27FC236}">
              <a16:creationId xmlns:a16="http://schemas.microsoft.com/office/drawing/2014/main" id="{333D29A5-1E86-C5EA-CBC9-6AD6D1F0821B}"/>
            </a:ext>
          </a:extLst>
        </xdr:cNvPr>
        <xdr:cNvSpPr/>
      </xdr:nvSpPr>
      <xdr:spPr>
        <a:xfrm>
          <a:off x="6451600" y="6400800"/>
          <a:ext cx="2667000" cy="317500"/>
        </a:xfrm>
        <a:prstGeom prst="roundRect">
          <a:avLst/>
        </a:prstGeom>
        <a:solidFill>
          <a:srgbClr val="2784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A954FF89-8367-7818-6233-27325B67F96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9F7F4629-9E9D-A9D5-5302-2E434B4F831A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8793593E-33C8-4B00-BC3A-79DB601738F1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39058547-7608-16E1-F21A-885EB6C95857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9C63DA8-F9FF-E48A-08D3-49B327A183FB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B1A7DBD-29B3-BE0F-0836-1B302474EA3C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BDF8825E-12AE-69A8-6380-9EBE0AF88DE1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0241792-8EF5-2925-2EC0-16CBA7A353A8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9320FFA9-8761-461D-D166-7FF0FC0C3496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90E40692-BB53-79E3-7429-F11225ED24F0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347840C5-FB14-1F93-CC39-BCDA79E2102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A898D739-E7F4-897D-0CDF-D0BB94DC4318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759285F4-7790-0F60-F79B-90BB2AC307F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1956A14A-FC11-989A-600B-7FC02344F352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C939F00D-0184-0B73-1F73-A59AE0B89838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B9208F1-7EDD-B6D4-2F88-138FEF536741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2D92F12-386B-E082-2DAC-8A7CAEB26D56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317F06B8-5161-FCC4-79EE-4CD1910714F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0A894C26-36B5-F7A5-A77C-7207F9CE6CDA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9EF9A8A-E560-3D62-AE28-7B512EAEA145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109B5A23-BA4E-F7E3-2540-6373E90C8266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0D95FC7-1196-5DD1-A9BE-3B2F78A4E56B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BADCFE77-3761-8FF9-5A51-F61BD2FBD0B3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461F3407-C5F0-9B20-AFCD-CADCE8614F3D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F4AFF3D-1DD9-7795-9477-E5455CAE253E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D6A711FA-998E-B10E-F276-089154039F8F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0090CF09-2FB6-2FAE-7995-19E73A09B71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1D050646-4C30-4BDA-2395-8412C5BFF58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1FB8CD1F-59EA-7460-B114-23061DF9C774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AB237FDF-AD49-B470-6055-E0B2B7D0A4E2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B209386B-ED9D-3921-939B-7E1A99409EC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6486D34B-08DF-BB9F-8C41-7FE7EDBB08AC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254727F-305C-76B7-8724-339B68FCDD1A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2E16F95-636B-8C58-CE24-B61E50AD3D2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4555AFF3-E95A-9D64-7DB5-9C697B6740D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FDBD9857-76FB-7CDF-9E7B-D21C18ACAA2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3A70935D-59FF-F6BB-A9E1-89CBA378DC96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819F8E27-A961-3AEC-CD45-ADA29AD74DC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843778C1-D445-C887-C225-227D10EC1ABB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69E0BC0-EC90-16D6-1247-5C34D226724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90396B5-0908-1318-243B-7D968C3F5D25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6EF99D98-CF04-23AA-4CC5-4D202F4419F3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BF810620-BD56-8B3D-D9E9-F279733EB7D9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3DCC99C-6395-E9DB-2A41-65C19D7F75A9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D552614-D2A7-E502-1397-3F4B0E5AA7F1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3" name="btn_ACTUALIZAR_2">
          <a:extLst>
            <a:ext uri="{FF2B5EF4-FFF2-40B4-BE49-F238E27FC236}">
              <a16:creationId xmlns:a16="http://schemas.microsoft.com/office/drawing/2014/main" id="{B7EB1CBB-9F84-73E3-F492-8FFEC36C0CFC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  <xdr:twoCellAnchor>
    <xdr:from>
      <xdr:col>4</xdr:col>
      <xdr:colOff>120650</xdr:colOff>
      <xdr:row>19</xdr:row>
      <xdr:rowOff>146050</xdr:rowOff>
    </xdr:from>
    <xdr:to>
      <xdr:col>11</xdr:col>
      <xdr:colOff>790575</xdr:colOff>
      <xdr:row>39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A15528-BE64-A4D8-5397-36E289A4E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5_RECEPCION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5_RECEPCION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0270D-9F60-4695-BC6F-6D5FB3B2D93E}" name="tblCatalogos" displayName="tblCatalogos" ref="A7:S17" totalsRowShown="0" headerRowDxfId="224" dataDxfId="246" headerRowBorderDxfId="244" tableBorderDxfId="245" totalsRowBorderDxfId="243">
  <autoFilter ref="A7:S17" xr:uid="{7280270D-9F60-4695-BC6F-6D5FB3B2D93E}"/>
  <tableColumns count="19">
    <tableColumn id="1" xr3:uid="{56BF72DC-6198-420B-BF4C-05DBDFF68A01}" name="producto_id" dataDxfId="223"/>
    <tableColumn id="2" xr3:uid="{E5763FC0-B40D-48EE-87F8-3F93D5B96853}" name="nombre_producto" dataDxfId="242"/>
    <tableColumn id="3" xr3:uid="{A467B826-7A1F-43EB-942C-BE9D8432014B}" name="categoria" dataDxfId="241"/>
    <tableColumn id="4" xr3:uid="{615168CC-E637-4B79-80ED-C3109E79BBF3}" name="presentacion_id" dataDxfId="240"/>
    <tableColumn id="5" xr3:uid="{82D8A278-04CB-49FA-8C82-E2E34A3FB4D4}" name="presentacion" dataDxfId="239"/>
    <tableColumn id="6" xr3:uid="{2B44DE53-3639-4555-9EE6-921EE70B0B70}" name="unidad_base" dataDxfId="238"/>
    <tableColumn id="7" xr3:uid="{A7A7777E-CE02-4566-B331-5315838CEF14}" name="unidad_operativa" dataDxfId="237"/>
    <tableColumn id="8" xr3:uid="{C5C5DE20-0712-422B-B9DD-42C23DB50C7C}" name="factor_conversion" dataDxfId="236"/>
    <tableColumn id="9" xr3:uid="{BBF0FD16-DF5B-44D9-AB83-2CE00752C299}" name="controla_lote" dataDxfId="235"/>
    <tableColumn id="10" xr3:uid="{54910337-9508-442A-B599-D56973EE8AF5}" name="controla_vencimiento" dataDxfId="234"/>
    <tableColumn id="11" xr3:uid="{7E4B8B61-9A59-4468-9747-7352096216D6}" name="controla_frio" dataDxfId="233"/>
    <tableColumn id="12" xr3:uid="{37BB5DB2-AF86-40CA-8C4B-C970D738D848}" name="temperatura_min_c" dataDxfId="232"/>
    <tableColumn id="13" xr3:uid="{59E791AF-840D-4976-BE3A-1877FF9C6DC6}" name="temperatura_max_c" dataDxfId="231"/>
    <tableColumn id="14" xr3:uid="{F5CB01D3-2D59-4AF7-BA1D-1DBA6893BB4C}" name="es_retornable" dataDxfId="230"/>
    <tableColumn id="15" xr3:uid="{890435C8-5B9A-40AF-8B91-31F882D1F3FD}" name="proveedor_referencia" dataDxfId="229"/>
    <tableColumn id="16" xr3:uid="{1C9E1B0F-D776-45A2-8E9C-40FF893B4721}" name="estado_registro" dataDxfId="228"/>
    <tableColumn id="17" xr3:uid="{79983C0A-632D-4B00-ACCD-7FAFA365AC19}" name="fecha_alta" dataDxfId="227"/>
    <tableColumn id="18" xr3:uid="{4E4DE472-00E8-492D-958F-E13BF0A466A3}" name="responsable" dataDxfId="226"/>
    <tableColumn id="19" xr3:uid="{753594C5-5A3A-45C4-A697-58C8747A74A8}" name="observaciones" dataDxfId="2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335037-4BD0-497B-8657-E4DA14AEF486}" name="tblUbicaciones" displayName="tblUbicaciones" ref="A7:K14" totalsRowShown="0" headerRowDxfId="208" dataDxfId="222" headerRowBorderDxfId="220" tableBorderDxfId="221" totalsRowBorderDxfId="219">
  <autoFilter ref="A7:K14" xr:uid="{3E335037-4BD0-497B-8657-E4DA14AEF486}"/>
  <tableColumns count="11">
    <tableColumn id="1" xr3:uid="{95C3B940-5240-49FD-8487-44C8DC1BBE22}" name="ubicacion_id" dataDxfId="207"/>
    <tableColumn id="2" xr3:uid="{BE3E7646-0309-4F9B-A2C0-8A8524C28715}" name="sede" dataDxfId="218"/>
    <tableColumn id="3" xr3:uid="{F5DB09CA-2A9E-4441-B687-97FBF02E2E1E}" name="area" dataDxfId="217"/>
    <tableColumn id="4" xr3:uid="{97441F5A-8D2B-4BD2-948D-A827BE3217B6}" name="zona" dataDxfId="216"/>
    <tableColumn id="5" xr3:uid="{042C79FE-FA81-46A5-9A6D-2063017E8ED5}" name="punto" dataDxfId="215"/>
    <tableColumn id="6" xr3:uid="{6EB594B3-303E-4A33-993D-A9BF5D410BD7}" name="tipo_ubicacion" dataDxfId="214"/>
    <tableColumn id="7" xr3:uid="{32407CD7-E080-4570-B67C-4A814F51E3A8}" name="permite_inventario" dataDxfId="213"/>
    <tableColumn id="8" xr3:uid="{98A6E9B2-9701-4419-9E5A-D2DD820B27AB}" name="requiere_frio" dataDxfId="212"/>
    <tableColumn id="9" xr3:uid="{450901D2-6E86-4456-9FAA-DAC7396FDB12}" name="estado_registro" dataDxfId="211"/>
    <tableColumn id="10" xr3:uid="{E823DEDF-B8B3-4E34-9BB1-B455A89E4EE7}" name="responsable" dataDxfId="210"/>
    <tableColumn id="11" xr3:uid="{58B7F097-3D48-4F2B-A229-26A710354B8D}" name="observaciones" dataDxfId="2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4C2B2F-4A11-4EBD-A375-AA8F11770D50}" name="tblSolicitudes" displayName="tblSolicitudes" ref="A7:P8" totalsRowShown="0" headerRowDxfId="187" dataDxfId="206" headerRowBorderDxfId="204" tableBorderDxfId="205" totalsRowBorderDxfId="203">
  <autoFilter ref="A7:P8" xr:uid="{1B4C2B2F-4A11-4EBD-A375-AA8F11770D50}"/>
  <tableColumns count="16">
    <tableColumn id="1" xr3:uid="{7FECCA6F-D007-4E5D-A95C-476D68E11F56}" name="solicitud_id" dataDxfId="186"/>
    <tableColumn id="2" xr3:uid="{5C008EEE-FFED-4BF2-855D-04737A17A468}" name="fecha_solicitud" dataDxfId="202"/>
    <tableColumn id="3" xr3:uid="{AF042F53-9B78-4055-B1E4-41841B3E4473}" name="solicitante" dataDxfId="201"/>
    <tableColumn id="4" xr3:uid="{589899AC-34B8-4C67-92A9-68DA07722FAA}" name="ubicacion_origen" dataDxfId="200"/>
    <tableColumn id="5" xr3:uid="{7170CE11-8A70-4EBD-AF20-CFFF14E376D5}" name="ubicacion_destino" dataDxfId="199"/>
    <tableColumn id="6" xr3:uid="{D40A2070-9F5F-484F-A10A-EF90D6B43562}" name="prioridad" dataDxfId="198"/>
    <tableColumn id="7" xr3:uid="{8AF604C6-B7F8-4DF3-B9C7-568F0BB8AF5E}" name="estado" dataDxfId="197"/>
    <tableColumn id="8" xr3:uid="{FCCF6FEB-9352-4EB0-A070-269FFAF31ECA}" name="producto_id" dataDxfId="196"/>
    <tableColumn id="9" xr3:uid="{2691396C-643A-462A-A19E-66EF491F02FC}" name="presentacion" dataDxfId="195"/>
    <tableColumn id="10" xr3:uid="{C96DD876-C0F8-4076-AE1F-A16829B47E92}" name="unidad" dataDxfId="194"/>
    <tableColumn id="11" xr3:uid="{0C242107-B546-46D7-A9DA-8C3AF754D920}" name="cantidad_solicitada" dataDxfId="193"/>
    <tableColumn id="12" xr3:uid="{031959CD-7F38-403E-9502-F2D862D55D9D}" name="cantidad_aprobada" dataDxfId="192"/>
    <tableColumn id="13" xr3:uid="{A24DACDD-A4CA-4A8E-B8C0-588BEB487CAA}" name="aprobacion_pct" dataDxfId="191">
      <calculatedColumnFormula>IF(OR(K8="",L8=""),"",IFERROR(L8/K8,0))</calculatedColumnFormula>
    </tableColumn>
    <tableColumn id="14" xr3:uid="{72037BFF-5A4F-47FB-BAEF-B62C3E0AD8BD}" name="fecha_necesidad" dataDxfId="190"/>
    <tableColumn id="15" xr3:uid="{7327F1DD-4958-42A5-8F4D-FA6681437B3F}" name="responsable_aprobacion" dataDxfId="189"/>
    <tableColumn id="16" xr3:uid="{47894C82-4C51-4A49-AC11-D5756C7101EA}" name="observaciones" dataDxfId="18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72A57D-0A04-4992-B4E4-748CB6087209}" name="tblRemisiones" displayName="tblRemisiones" ref="A7:W8" totalsRowShown="0" headerRowDxfId="159" dataDxfId="185" headerRowBorderDxfId="183" tableBorderDxfId="184" totalsRowBorderDxfId="182">
  <autoFilter ref="A7:W8" xr:uid="{7A72A57D-0A04-4992-B4E4-748CB6087209}"/>
  <tableColumns count="23">
    <tableColumn id="1" xr3:uid="{0F3529AD-D29F-4DC8-8306-FB1BEE29D82E}" name="remision_id" dataDxfId="158"/>
    <tableColumn id="2" xr3:uid="{A459DFAA-8AC5-418E-A262-63D5CF4BD6C9}" name="solicitud_id" dataDxfId="181"/>
    <tableColumn id="3" xr3:uid="{11CEC75B-A9D4-4F2A-A826-AB148F4DB624}" name="fecha_despacho" dataDxfId="180"/>
    <tableColumn id="4" xr3:uid="{E6EDFA0A-E507-42E1-8106-18F245CA9510}" name="ubicacion_origen" dataDxfId="179"/>
    <tableColumn id="5" xr3:uid="{6C38B164-FED1-417A-B7EA-E45A4D50F529}" name="ubicacion_destino" dataDxfId="178"/>
    <tableColumn id="6" xr3:uid="{C91FE440-E177-4C64-97F8-9B920711A889}" name="estado" dataDxfId="177"/>
    <tableColumn id="7" xr3:uid="{33E2D947-D310-49D7-B383-6E087FA07DC2}" name="producto_id" dataDxfId="176"/>
    <tableColumn id="8" xr3:uid="{0BD79A42-7129-4482-B1D4-C58AB7E90AB9}" name="presentacion" dataDxfId="175"/>
    <tableColumn id="9" xr3:uid="{FA9F0B10-5C6C-4129-91C5-A732B24E0A6A}" name="lote" dataDxfId="174"/>
    <tableColumn id="10" xr3:uid="{81D1028F-06F0-4D0E-8C03-4783FB35FEC6}" name="fecha_vencimiento" dataDxfId="173"/>
    <tableColumn id="11" xr3:uid="{E992231F-AB83-422D-8B9B-7A0DB1F8D543}" name="unidad" dataDxfId="172"/>
    <tableColumn id="12" xr3:uid="{7A821BCB-0AC1-4ABF-820B-53E11FBD0B50}" name="cantidad_solicitada" dataDxfId="171"/>
    <tableColumn id="13" xr3:uid="{5E7540C9-0617-4D2C-A724-4BA3345AA105}" name="cantidad_aprobada" dataDxfId="170"/>
    <tableColumn id="14" xr3:uid="{3BA29159-B12A-4A13-88B5-274369C5CC4D}" name="cantidad_preparada" dataDxfId="169"/>
    <tableColumn id="15" xr3:uid="{6B431FF9-AA20-44DF-A9F9-F8FFEEDB876B}" name="cantidad_cargada" dataDxfId="168"/>
    <tableColumn id="16" xr3:uid="{E5776034-4D5B-4B47-96DE-BC7209063FF0}" name="cantidad_despachada" dataDxfId="167"/>
    <tableColumn id="17" xr3:uid="{0CB4C6DA-9ABE-4062-BCE7-E65F68D9DB56}" name="cantidad_recibida" dataDxfId="166">
      <calculatedColumnFormula>IF(OR(A8="",G8=""),"",SUMIFS('[1]05_RECEPCIONES'!$I$8:$I$200,'[1]05_RECEPCIONES'!$B$8:$B$200,A8,'[1]05_RECEPCIONES'!$F$8:$F$200,G8,'[1]05_RECEPCIONES'!$G$8:$G$200,I8))</calculatedColumnFormula>
    </tableColumn>
    <tableColumn id="18" xr3:uid="{7B09A3D9-7FCC-4D2A-A450-A02CC327192F}" name="diferencia_recepcion" dataDxfId="165">
      <calculatedColumnFormula>IF(OR(P8="",Q8=""),"",Q8-P8)</calculatedColumnFormula>
    </tableColumn>
    <tableColumn id="19" xr3:uid="{C2577515-742F-4E73-AEF3-0A46B1397117}" name="cumplimiento_pct" dataDxfId="164">
      <calculatedColumnFormula>IF(OR(P8="",Q8=""),"",IFERROR(Q8/P8,0))</calculatedColumnFormula>
    </tableColumn>
    <tableColumn id="20" xr3:uid="{2BE7F2BC-86FB-4F1E-B4CC-A4C75B6D6DCD}" name="custodio_salida" dataDxfId="163"/>
    <tableColumn id="21" xr3:uid="{3E15179D-AF2B-4D1D-8D1A-F00C0C4FD337}" name="custodio_recepcion" dataDxfId="162"/>
    <tableColumn id="22" xr3:uid="{28D2AE65-6CF0-4511-9348-159A6953171F}" name="evidencia" dataDxfId="161"/>
    <tableColumn id="23" xr3:uid="{70C8E02B-80AA-4EFC-96CB-A6472AD4311E}" name="observaciones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934C2D-79D8-48FB-B719-6A603EFBE673}" name="tblRecepciones" displayName="tblRecepciones" ref="A7:Q8" totalsRowShown="0" headerRowDxfId="137" dataDxfId="157" headerRowBorderDxfId="155" tableBorderDxfId="156" totalsRowBorderDxfId="154">
  <autoFilter ref="A7:Q8" xr:uid="{C7934C2D-79D8-48FB-B719-6A603EFBE673}"/>
  <tableColumns count="17">
    <tableColumn id="1" xr3:uid="{9FF63E7F-4DBA-4EF9-883A-FBF060974FFE}" name="recepcion_id" dataDxfId="136"/>
    <tableColumn id="2" xr3:uid="{C459FD5B-EEA8-4499-96EA-5B0A6F04679B}" name="remision_id" dataDxfId="153"/>
    <tableColumn id="3" xr3:uid="{82E31E1D-48D0-4977-9357-A59FF099378E}" name="fecha_recepcion" dataDxfId="152"/>
    <tableColumn id="4" xr3:uid="{76122CEC-E034-45C3-B794-EC8FA8FB50B6}" name="ubicacion_destino" dataDxfId="151"/>
    <tableColumn id="5" xr3:uid="{8C808807-60BC-4620-877B-CDF5805F2514}" name="metodo_recepcion" dataDxfId="150"/>
    <tableColumn id="6" xr3:uid="{A52D7D6F-20A1-4051-BD93-5389897AA43B}" name="producto_id" dataDxfId="149"/>
    <tableColumn id="7" xr3:uid="{F25B6CB7-07D0-4876-8D97-F5A85E464A24}" name="lote" dataDxfId="148"/>
    <tableColumn id="8" xr3:uid="{A24B8831-EC1F-40C1-A834-A41568E0E4AC}" name="unidad" dataDxfId="147"/>
    <tableColumn id="9" xr3:uid="{C261959F-ED07-4E77-A0DA-3DB0EF2FABA5}" name="cantidad_recibida" dataDxfId="146"/>
    <tableColumn id="10" xr3:uid="{DEA05B38-5297-48B2-B93A-ED5CCFECF5A1}" name="cantidad_conforme" dataDxfId="145"/>
    <tableColumn id="11" xr3:uid="{E14BB46E-1F5C-4056-8093-2D783CB07408}" name="cantidad_no_conforme" dataDxfId="144"/>
    <tableColumn id="12" xr3:uid="{F9DB2D57-5AD5-47B0-BC9A-216A8F6B4B31}" name="temperatura_c" dataDxfId="143"/>
    <tableColumn id="13" xr3:uid="{FCDC3969-C13B-4FB4-AB9D-927EA54627DF}" name="condicion" dataDxfId="142"/>
    <tableColumn id="14" xr3:uid="{27E3975F-8527-41C9-9D70-A91AEEE30607}" name="decision" dataDxfId="141"/>
    <tableColumn id="15" xr3:uid="{74B4C2AA-EB38-4CEE-8102-A38970A14E01}" name="responsable" dataDxfId="140"/>
    <tableColumn id="16" xr3:uid="{CFA549C8-5FA2-49CC-99C2-BA01B45E2A09}" name="evidencia" dataDxfId="139"/>
    <tableColumn id="17" xr3:uid="{0FF67CCA-5922-478C-9749-6A764432EE55}" name="observaciones" dataDxfId="1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4FE05-D0A2-4BEF-AAAE-7859A90E0628}" name="tblConteos" displayName="tblConteos" ref="A7:R8" totalsRowShown="0" headerRowDxfId="114" dataDxfId="135" headerRowBorderDxfId="133" tableBorderDxfId="134" totalsRowBorderDxfId="132">
  <autoFilter ref="A7:R8" xr:uid="{1944FE05-D0A2-4BEF-AAAE-7859A90E0628}"/>
  <tableColumns count="18">
    <tableColumn id="1" xr3:uid="{2970D3B6-B27A-4FEA-A8F6-1BA0B6C3291C}" name="sesion_conteo_id" dataDxfId="113"/>
    <tableColumn id="2" xr3:uid="{5EE6B140-DED3-41D7-8D99-62475360D7A8}" name="fecha_corte" dataDxfId="131"/>
    <tableColumn id="3" xr3:uid="{46CD9CF7-DD70-4EA3-ADE5-318DE339D196}" name="sede" dataDxfId="130"/>
    <tableColumn id="4" xr3:uid="{4671348E-35BA-40C3-97DF-D5B73F95A595}" name="ubicacion_id" dataDxfId="129"/>
    <tableColumn id="5" xr3:uid="{2B90FF79-05D4-4786-8E8F-64D24F4C0174}" name="responsable" dataDxfId="128"/>
    <tableColumn id="6" xr3:uid="{6B5EC375-6BF9-489A-993B-509BBBC9D003}" name="metodo" dataDxfId="127"/>
    <tableColumn id="7" xr3:uid="{B40C54F9-62A5-48FD-B2B5-C25317617686}" name="producto_id" dataDxfId="126"/>
    <tableColumn id="8" xr3:uid="{A1723799-A575-4AA9-B52B-FC7040AEAB6E}" name="presentacion" dataDxfId="125"/>
    <tableColumn id="9" xr3:uid="{AD0E0733-B471-4084-B23B-DAF04B16658B}" name="lote" dataDxfId="124"/>
    <tableColumn id="10" xr3:uid="{CCBCB6F2-8854-4571-AABD-04C85F14D061}" name="unidad" dataDxfId="123"/>
    <tableColumn id="11" xr3:uid="{40600685-A05E-46A1-8764-E181EF91BCDB}" name="cantidad_sistema_referencia" dataDxfId="122"/>
    <tableColumn id="12" xr3:uid="{003B01D4-FFC8-4D0B-93A0-48CF42C90A28}" name="cantidad_contada" dataDxfId="121"/>
    <tableColumn id="13" xr3:uid="{41158C6B-41D6-446F-AC20-5CBB92E42EE9}" name="diferencia" dataDxfId="120">
      <calculatedColumnFormula>IF(OR(K8="",L8=""),"",L8-K8)</calculatedColumnFormula>
    </tableColumn>
    <tableColumn id="14" xr3:uid="{2B28B844-650E-40AD-94B8-ACCAC55DE714}" name="investigacion" dataDxfId="119"/>
    <tableColumn id="15" xr3:uid="{B14D427B-E9C8-4663-8E2C-30BDE20BFCE4}" name="documento_ajuste_id" dataDxfId="118"/>
    <tableColumn id="16" xr3:uid="{64D39E60-FF24-4F98-A89A-66B95D85C217}" name="estado" dataDxfId="117"/>
    <tableColumn id="17" xr3:uid="{D910E53D-8FD0-48AE-96A6-F31CD8730422}" name="evidencia" dataDxfId="116"/>
    <tableColumn id="18" xr3:uid="{BA3F516C-F3A3-468F-8D59-90E46A8111B2}" name="observaciones" dataDxfId="1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6DBB33-3ECD-418D-900F-D7F3A3F06CBC}" name="tblMovimientos" displayName="tblMovimientos" ref="A7:Q8" totalsRowShown="0" headerRowDxfId="92" dataDxfId="112" headerRowBorderDxfId="110" tableBorderDxfId="111" totalsRowBorderDxfId="109">
  <autoFilter ref="A7:Q8" xr:uid="{A06DBB33-3ECD-418D-900F-D7F3A3F06CBC}"/>
  <tableColumns count="17">
    <tableColumn id="1" xr3:uid="{0375CE79-5161-4B6F-836B-A7D3A9DC3551}" name="movimiento_id" dataDxfId="91"/>
    <tableColumn id="2" xr3:uid="{429F7E3A-2BF7-4B37-BC1B-6CEE3508D4FA}" name="fecha_movimiento" dataDxfId="108"/>
    <tableColumn id="3" xr3:uid="{3A14DBDF-F3C3-4EA2-8323-5D1BE9325177}" name="tipo_movimiento" dataDxfId="107"/>
    <tableColumn id="4" xr3:uid="{7A2D9A0A-B4DD-4983-B3B9-429620FE9D95}" name="ubicacion_origen" dataDxfId="106"/>
    <tableColumn id="5" xr3:uid="{84153FE9-5AB9-48BB-BE8E-B40D5AEB8157}" name="ubicacion_destino" dataDxfId="105"/>
    <tableColumn id="6" xr3:uid="{63C6DD84-018A-4F20-B238-C409D780DED0}" name="producto_id" dataDxfId="104"/>
    <tableColumn id="7" xr3:uid="{B961A8CE-9BEE-483E-9783-1EBAEF815283}" name="presentacion" dataDxfId="103"/>
    <tableColumn id="8" xr3:uid="{9B6CF1A8-0653-46D2-943F-6CD1C0DF53AC}" name="lote" dataDxfId="102"/>
    <tableColumn id="9" xr3:uid="{87249B6E-429E-4DCC-9420-C40EAD5DB9CE}" name="unidad" dataDxfId="101"/>
    <tableColumn id="10" xr3:uid="{09DF5DA6-2FD4-4FD6-9AC9-44DA4F9D7FE4}" name="cantidad" dataDxfId="100"/>
    <tableColumn id="11" xr3:uid="{7F80E9FD-E213-48F1-8DB0-682DA58E16F3}" name="custodio_salida" dataDxfId="99"/>
    <tableColumn id="12" xr3:uid="{7587A809-D69F-4543-97DE-1CBD176ADAC5}" name="custodio_entrada" dataDxfId="98"/>
    <tableColumn id="13" xr3:uid="{1451E45F-BDE4-4085-A431-948A074EE699}" name="documento_relacionado_id" dataDxfId="97"/>
    <tableColumn id="14" xr3:uid="{0F92CDFA-A73C-48F2-96C5-D17D3A4B9085}" name="responsable" dataDxfId="96"/>
    <tableColumn id="15" xr3:uid="{1D50AB05-9428-4638-BE20-EAB8D615F01C}" name="evidencia" dataDxfId="95"/>
    <tableColumn id="16" xr3:uid="{ABA5B14E-869C-4A2E-A938-A4C081D803C6}" name="estado" dataDxfId="94"/>
    <tableColumn id="17" xr3:uid="{21F00BDA-B892-4CD6-A91D-20518495D428}" name="observaciones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265BF5-B453-4590-ACAD-B7F9D17EF853}" name="tblProduccion" displayName="tblProduccion" ref="A7:U8" totalsRowShown="0" headerRowDxfId="66" dataDxfId="90" headerRowBorderDxfId="88" tableBorderDxfId="89" totalsRowBorderDxfId="87">
  <autoFilter ref="A7:U8" xr:uid="{7A265BF5-B453-4590-ACAD-B7F9D17EF853}"/>
  <tableColumns count="21">
    <tableColumn id="1" xr3:uid="{443C11EA-ED93-4545-B467-38C82DF42F14}" name="orden_produccion_id" dataDxfId="65"/>
    <tableColumn id="2" xr3:uid="{E05CB2C3-4080-4710-AEDA-7516AC847CEB}" name="fecha_produccion" dataDxfId="86"/>
    <tableColumn id="3" xr3:uid="{505DBFBC-D2B1-40C3-BCFF-A9DFBB40EC6A}" name="receta_id" dataDxfId="85"/>
    <tableColumn id="4" xr3:uid="{6ECD62B9-3F6F-448D-A2B8-3BB8DCF4DA0E}" name="version_receta" dataDxfId="84"/>
    <tableColumn id="5" xr3:uid="{57BAF8DE-46D5-4C76-ABEC-7FAACC78D1D0}" name="lote_salida" dataDxfId="83"/>
    <tableColumn id="6" xr3:uid="{AC32B1A9-5144-4ACA-BBB8-8DE278158674}" name="estado_produccion" dataDxfId="82"/>
    <tableColumn id="7" xr3:uid="{DD14E704-BF3B-4D10-9EE5-6FC86A371F8A}" name="estado_calidad" dataDxfId="81"/>
    <tableColumn id="8" xr3:uid="{A8DFBDE2-D94E-4E0D-AEA7-A9074A7DE7E2}" name="producto_insumo_id" dataDxfId="80"/>
    <tableColumn id="9" xr3:uid="{B3C37CB6-BB4E-46F7-8470-DCC371E2FD4B}" name="lote_insumo" dataDxfId="79"/>
    <tableColumn id="10" xr3:uid="{5035DEB2-F6D9-4E1B-92EA-AB7E7A09F64D}" name="unidad_insumo" dataDxfId="78"/>
    <tableColumn id="11" xr3:uid="{CBC5FC3A-C5E8-47C8-AA91-09407E939196}" name="cantidad_insumo" dataDxfId="77"/>
    <tableColumn id="12" xr3:uid="{91678007-C250-407F-AAF3-11E7F1B03609}" name="producto_salida_id" dataDxfId="76"/>
    <tableColumn id="13" xr3:uid="{0753EA43-1B9B-4782-99A3-FF8E235133AE}" name="unidad_salida" dataDxfId="75"/>
    <tableColumn id="14" xr3:uid="{4F0C72D6-3398-4EFD-AC83-23DF29C84CAC}" name="salida_total" dataDxfId="74"/>
    <tableColumn id="15" xr3:uid="{B5F6906D-B2FF-4CD1-8589-3FA7C32E19D7}" name="salida_buena" dataDxfId="73"/>
    <tableColumn id="16" xr3:uid="{B967B56A-EA2C-4A3F-9EF3-6DFBC5B7EC8D}" name="reproceso" dataDxfId="72"/>
    <tableColumn id="17" xr3:uid="{23D8852A-5336-424E-B47A-B24A482CBC8C}" name="merma" dataDxfId="71"/>
    <tableColumn id="18" xr3:uid="{10A13994-DF4D-47A2-B196-706561785866}" name="rendimiento_pct" dataDxfId="70">
      <calculatedColumnFormula>IF(OR(N8="",O8=""),"",IFERROR(O8/N8,0))</calculatedColumnFormula>
    </tableColumn>
    <tableColumn id="19" xr3:uid="{1D470D8F-EE9B-4262-B9B6-F28214707663}" name="responsable" dataDxfId="69"/>
    <tableColumn id="20" xr3:uid="{EF55F188-4492-41D5-B00F-57A461F9F8D0}" name="evidencia" dataDxfId="68"/>
    <tableColumn id="21" xr3:uid="{6E15A077-80FC-40E9-A566-03A6D7C020C0}" name="observaciones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10EAE3-79CB-460E-939C-159C1AC4172E}" name="tblCalidadMermas" displayName="tblCalidadMermas" ref="A7:Q8" totalsRowShown="0" headerRowDxfId="44" dataDxfId="64" headerRowBorderDxfId="62" tableBorderDxfId="63" totalsRowBorderDxfId="61">
  <autoFilter ref="A7:Q8" xr:uid="{8B10EAE3-79CB-460E-939C-159C1AC4172E}"/>
  <tableColumns count="17">
    <tableColumn id="1" xr3:uid="{36C535F3-5A3B-4848-BA4D-81AA1595CDA5}" name="evento_id" dataDxfId="43"/>
    <tableColumn id="2" xr3:uid="{CD51D4EF-78FB-46C4-8111-F1E6B32DADB8}" name="fecha_evento" dataDxfId="60"/>
    <tableColumn id="3" xr3:uid="{2EDFDC94-C449-4C1A-8EA4-6D2A03629655}" name="tipo_evento" dataDxfId="59"/>
    <tableColumn id="4" xr3:uid="{2E3CA0E6-4CE8-471E-B37B-16EBF92D4735}" name="ubicacion_id" dataDxfId="58"/>
    <tableColumn id="5" xr3:uid="{1BC309B2-F02D-4647-BBB2-4E6F97DB9B27}" name="producto_id" dataDxfId="57"/>
    <tableColumn id="6" xr3:uid="{93E3E641-E65B-4C7D-9046-7060C880FEE4}" name="lote" dataDxfId="56"/>
    <tableColumn id="7" xr3:uid="{EC0D6229-D573-44BB-A253-89583946142C}" name="fecha_vencimiento" dataDxfId="55"/>
    <tableColumn id="8" xr3:uid="{342A07AE-01AF-4E6D-9751-DC4CE156A308}" name="condicion" dataDxfId="54"/>
    <tableColumn id="9" xr3:uid="{E43B00AD-A231-491C-A61B-EE28A5E2F9C4}" name="temperatura_c" dataDxfId="53"/>
    <tableColumn id="10" xr3:uid="{F6FBF5A8-C1D6-41CA-AC29-9CF1C3930835}" name="cantidad_afectada" dataDxfId="52"/>
    <tableColumn id="11" xr3:uid="{05E02D14-465B-4C52-9719-AB059390AE90}" name="unidad" dataDxfId="51"/>
    <tableColumn id="12" xr3:uid="{37167F88-D765-4743-8F67-D5C19A32B2AB}" name="disposicion" dataDxfId="50"/>
    <tableColumn id="13" xr3:uid="{634DF729-5419-4827-A783-C635348E01E9}" name="documento_relacionado_id" dataDxfId="49"/>
    <tableColumn id="14" xr3:uid="{1EF9B6B2-A726-41FB-94BA-DF3F405385CA}" name="responsable" dataDxfId="48"/>
    <tableColumn id="15" xr3:uid="{EAEC675A-EEC5-4365-9940-2B14F63C133B}" name="evidencia" dataDxfId="47"/>
    <tableColumn id="16" xr3:uid="{CF0FD8EA-0E6D-4171-A9A9-8A38BFCA6549}" name="estado" dataDxfId="46"/>
    <tableColumn id="17" xr3:uid="{3D90634F-312E-4FC3-911C-739E9B536160}" name="observaciones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8942D8-6E50-4ED3-924F-2C573FF3B83E}" name="tblRetornables" displayName="tblRetornables" ref="A7:N8" totalsRowShown="0" headerRowDxfId="25" dataDxfId="42" headerRowBorderDxfId="40" tableBorderDxfId="41" totalsRowBorderDxfId="39">
  <autoFilter ref="A7:N8" xr:uid="{BA8942D8-6E50-4ED3-924F-2C573FF3B83E}"/>
  <tableColumns count="14">
    <tableColumn id="1" xr3:uid="{E929556C-46F5-4DA1-90F5-489F389CAE41}" name="movimiento_retornable_id" dataDxfId="24"/>
    <tableColumn id="2" xr3:uid="{D160C6A5-1171-4204-BE66-213B110A013E}" name="fecha_movimiento" dataDxfId="38"/>
    <tableColumn id="3" xr3:uid="{6A3C01C6-DEAB-4A6D-BC08-7583CF300E20}" name="tipo_retornable" dataDxfId="37"/>
    <tableColumn id="4" xr3:uid="{5D780537-098E-4C16-8703-F1741A35342C}" name="unidad_identificada_lpn" dataDxfId="36"/>
    <tableColumn id="5" xr3:uid="{7853E26E-9E62-42CE-9593-AFA74AE8FF49}" name="ubicacion_origen" dataDxfId="35"/>
    <tableColumn id="6" xr3:uid="{2606051C-0DEF-4E7B-B599-AD23C8D8D67C}" name="ubicacion_destino" dataDxfId="34"/>
    <tableColumn id="7" xr3:uid="{0666717C-4EE4-4E7E-8CB9-FE44C1D65D12}" name="cantidad_salida" dataDxfId="33"/>
    <tableColumn id="8" xr3:uid="{A7573B6F-36AA-42CA-90C5-8C3168723518}" name="cantidad_recibida" dataDxfId="32"/>
    <tableColumn id="9" xr3:uid="{588DFF6C-4D20-4A7C-863B-75DC1EB8825D}" name="diferencia" dataDxfId="31">
      <calculatedColumnFormula>IF(OR(G8="",H8=""),"",H8-G8)</calculatedColumnFormula>
    </tableColumn>
    <tableColumn id="10" xr3:uid="{A631F3AE-C034-455D-AE86-9E33106C7869}" name="custodio_salida" dataDxfId="30"/>
    <tableColumn id="11" xr3:uid="{5340FE1D-7A5C-4197-B9E9-D9BE2A74DBF9}" name="custodio_recepcion" dataDxfId="29"/>
    <tableColumn id="12" xr3:uid="{BE39AC8F-4AE7-4622-B624-D6833170B1D2}" name="estado" dataDxfId="28"/>
    <tableColumn id="13" xr3:uid="{AE478443-7D2A-4C29-B008-D5D1CDD2E91B}" name="evidencia" dataDxfId="27"/>
    <tableColumn id="14" xr3:uid="{C28F7963-AD8F-4C3D-879E-BBF8741DC6D8}" name="observaciones" dataDxfId="2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3BCAA70-6692-4779-9190-008B4DB89B4F}" name="tblEstaciones" displayName="tblEstaciones" ref="A7:S8" totalsRowShown="0" headerRowDxfId="1" dataDxfId="23" headerRowBorderDxfId="21" tableBorderDxfId="22" totalsRowBorderDxfId="20">
  <autoFilter ref="A7:S8" xr:uid="{A3BCAA70-6692-4779-9190-008B4DB89B4F}"/>
  <tableColumns count="19">
    <tableColumn id="1" xr3:uid="{72966BBB-C7A8-49C2-A22A-A82C72C64810}" name="estacion_id" dataDxfId="0"/>
    <tableColumn id="2" xr3:uid="{458F9B64-0317-4DDD-8BF5-B83CB9FC102D}" name="sede" dataDxfId="19"/>
    <tableColumn id="3" xr3:uid="{19EBDEAF-8764-4680-8836-8D4FA382DC8E}" name="area" dataDxfId="18"/>
    <tableColumn id="4" xr3:uid="{3F40ADFD-F15A-4CCB-9764-C4E8957A2CCD}" name="zona" dataDxfId="17"/>
    <tableColumn id="5" xr3:uid="{4F12295B-438D-4C29-8627-72F741AE5026}" name="punto" dataDxfId="16"/>
    <tableColumn id="6" xr3:uid="{6082E7D4-4FFC-4037-BFEB-982708FE1A7F}" name="perfil_estacion" dataDxfId="15"/>
    <tableColumn id="7" xr3:uid="{3B7560FE-4D09-4303-8A0B-26039221917B}" name="proceso_principal" dataDxfId="14"/>
    <tableColumn id="8" xr3:uid="{462A522B-DA74-4983-8181-339F4E39AC59}" name="actor_principal" dataDxfId="13"/>
    <tableColumn id="9" xr3:uid="{12A84249-0644-4B16-BCBC-A0CCB0723DDC}" name="picos_operativos" dataDxfId="12"/>
    <tableColumn id="10" xr3:uid="{B74AB968-5ABF-4562-BB0C-72311933F55F}" name="movilidad" dataDxfId="11"/>
    <tableColumn id="11" xr3:uid="{9EEA40BB-B400-49CF-9C17-D3BE82A1DFFC}" name="interaccion_ambiental" dataDxfId="10"/>
    <tableColumn id="12" xr3:uid="{8F0F2EDE-9ED2-4036-A42A-B71607EF0F65}" name="dispositivo" dataDxfId="9"/>
    <tableColumn id="13" xr3:uid="{F9CC7AD4-7835-4B50-910B-0E8B72F1BE2B}" name="tipo_sesion" dataDxfId="8"/>
    <tableColumn id="14" xr3:uid="{A489C3F7-6279-4D21-B49F-639360C178C0}" name="perifericos" dataDxfId="7"/>
    <tableColumn id="15" xr3:uid="{CC5DA8D6-551A-4DBA-9812-C54A8B4D19BE}" name="infraestructura" dataDxfId="6"/>
    <tableColumn id="16" xr3:uid="{FE5A7D68-53AB-40EA-8E39-6732CBDE0393}" name="contingencia" dataDxfId="5"/>
    <tableColumn id="17" xr3:uid="{E796F788-68EC-47AC-A892-E9AC05459B45}" name="evidencia" dataDxfId="4"/>
    <tableColumn id="18" xr3:uid="{874E9E14-C484-4CDE-811C-773CB1309A26}" name="estado_registro" dataDxfId="3"/>
    <tableColumn id="19" xr3:uid="{64321D7F-86A0-4EBF-B29C-CE12174CF4E8}" name="observacion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780D1-6992-4711-B022-8BDB80AEC5C7}">
  <sheetPr codeName="Hoja1"/>
  <dimension ref="A1:R10"/>
  <sheetViews>
    <sheetView workbookViewId="0"/>
  </sheetViews>
  <sheetFormatPr baseColWidth="10" defaultRowHeight="15" x14ac:dyDescent="0.25"/>
  <sheetData>
    <row r="1" spans="1:18" x14ac:dyDescent="0.25">
      <c r="A1" t="s">
        <v>0</v>
      </c>
      <c r="B1" t="s">
        <v>5</v>
      </c>
      <c r="C1" t="s">
        <v>12</v>
      </c>
      <c r="D1" t="s">
        <v>16</v>
      </c>
      <c r="E1" t="s">
        <v>22</v>
      </c>
      <c r="F1" t="s">
        <v>32</v>
      </c>
      <c r="G1" t="s">
        <v>38</v>
      </c>
      <c r="H1" t="s">
        <v>46</v>
      </c>
      <c r="I1" t="s">
        <v>50</v>
      </c>
      <c r="J1" t="s">
        <v>58</v>
      </c>
      <c r="K1" t="s">
        <v>64</v>
      </c>
      <c r="L1" t="s">
        <v>71</v>
      </c>
      <c r="M1" t="s">
        <v>77</v>
      </c>
      <c r="N1" t="s">
        <v>85</v>
      </c>
      <c r="O1" t="s">
        <v>90</v>
      </c>
      <c r="P1" t="s">
        <v>98</v>
      </c>
      <c r="Q1" t="s">
        <v>103</v>
      </c>
      <c r="R1" t="s">
        <v>106</v>
      </c>
    </row>
    <row r="2" spans="1:18" x14ac:dyDescent="0.25">
      <c r="A2" t="s">
        <v>1</v>
      </c>
      <c r="B2" t="s">
        <v>6</v>
      </c>
      <c r="C2" t="s">
        <v>13</v>
      </c>
      <c r="D2" t="s">
        <v>6</v>
      </c>
      <c r="E2" t="s">
        <v>23</v>
      </c>
      <c r="F2" t="s">
        <v>33</v>
      </c>
      <c r="G2" t="s">
        <v>39</v>
      </c>
      <c r="H2" t="s">
        <v>6</v>
      </c>
      <c r="I2" t="s">
        <v>51</v>
      </c>
      <c r="J2" t="s">
        <v>59</v>
      </c>
      <c r="K2" t="s">
        <v>65</v>
      </c>
      <c r="L2" t="s">
        <v>72</v>
      </c>
      <c r="M2" t="s">
        <v>78</v>
      </c>
      <c r="N2" t="s">
        <v>86</v>
      </c>
      <c r="O2" t="s">
        <v>91</v>
      </c>
      <c r="P2" t="s">
        <v>48</v>
      </c>
      <c r="Q2" t="s">
        <v>104</v>
      </c>
      <c r="R2" t="s">
        <v>107</v>
      </c>
    </row>
    <row r="3" spans="1:18" x14ac:dyDescent="0.25">
      <c r="A3" t="s">
        <v>2</v>
      </c>
      <c r="B3" t="s">
        <v>7</v>
      </c>
      <c r="C3" t="s">
        <v>14</v>
      </c>
      <c r="D3" t="s">
        <v>17</v>
      </c>
      <c r="E3" t="s">
        <v>24</v>
      </c>
      <c r="F3" t="s">
        <v>34</v>
      </c>
      <c r="G3" t="s">
        <v>40</v>
      </c>
      <c r="H3" t="s">
        <v>47</v>
      </c>
      <c r="I3" t="s">
        <v>52</v>
      </c>
      <c r="J3" t="s">
        <v>60</v>
      </c>
      <c r="K3" t="s">
        <v>66</v>
      </c>
      <c r="L3" t="s">
        <v>73</v>
      </c>
      <c r="M3" t="s">
        <v>79</v>
      </c>
      <c r="N3" t="s">
        <v>49</v>
      </c>
      <c r="O3" t="s">
        <v>92</v>
      </c>
      <c r="P3" t="s">
        <v>99</v>
      </c>
      <c r="Q3" t="s">
        <v>105</v>
      </c>
      <c r="R3" t="s">
        <v>108</v>
      </c>
    </row>
    <row r="4" spans="1:18" x14ac:dyDescent="0.25">
      <c r="A4" t="s">
        <v>3</v>
      </c>
      <c r="B4" t="s">
        <v>8</v>
      </c>
      <c r="C4" t="s">
        <v>15</v>
      </c>
      <c r="D4" t="s">
        <v>18</v>
      </c>
      <c r="E4" t="s">
        <v>25</v>
      </c>
      <c r="F4" t="s">
        <v>35</v>
      </c>
      <c r="G4" t="s">
        <v>41</v>
      </c>
      <c r="H4" t="s">
        <v>48</v>
      </c>
      <c r="I4" t="s">
        <v>53</v>
      </c>
      <c r="J4" t="s">
        <v>55</v>
      </c>
      <c r="K4" t="s">
        <v>67</v>
      </c>
      <c r="L4" t="s">
        <v>61</v>
      </c>
      <c r="M4" t="s">
        <v>80</v>
      </c>
      <c r="N4" t="s">
        <v>87</v>
      </c>
      <c r="O4" t="s">
        <v>93</v>
      </c>
      <c r="P4" t="s">
        <v>100</v>
      </c>
      <c r="R4" t="s">
        <v>109</v>
      </c>
    </row>
    <row r="5" spans="1:18" x14ac:dyDescent="0.25">
      <c r="A5" t="s">
        <v>4</v>
      </c>
      <c r="B5" t="s">
        <v>9</v>
      </c>
      <c r="D5" t="s">
        <v>19</v>
      </c>
      <c r="E5" t="s">
        <v>26</v>
      </c>
      <c r="F5" t="s">
        <v>36</v>
      </c>
      <c r="G5" t="s">
        <v>42</v>
      </c>
      <c r="H5" t="s">
        <v>10</v>
      </c>
      <c r="I5" t="s">
        <v>54</v>
      </c>
      <c r="J5" t="s">
        <v>61</v>
      </c>
      <c r="K5" t="s">
        <v>55</v>
      </c>
      <c r="L5" t="s">
        <v>74</v>
      </c>
      <c r="M5" t="s">
        <v>81</v>
      </c>
      <c r="N5" t="s">
        <v>88</v>
      </c>
      <c r="O5" t="s">
        <v>94</v>
      </c>
      <c r="P5" t="s">
        <v>101</v>
      </c>
      <c r="R5" t="s">
        <v>110</v>
      </c>
    </row>
    <row r="6" spans="1:18" x14ac:dyDescent="0.25">
      <c r="B6" t="s">
        <v>10</v>
      </c>
      <c r="D6" t="s">
        <v>20</v>
      </c>
      <c r="E6" t="s">
        <v>27</v>
      </c>
      <c r="F6" t="s">
        <v>37</v>
      </c>
      <c r="G6" t="s">
        <v>43</v>
      </c>
      <c r="H6" t="s">
        <v>11</v>
      </c>
      <c r="I6" t="s">
        <v>55</v>
      </c>
      <c r="J6" t="s">
        <v>62</v>
      </c>
      <c r="K6" t="s">
        <v>68</v>
      </c>
      <c r="L6" t="s">
        <v>62</v>
      </c>
      <c r="M6" t="s">
        <v>82</v>
      </c>
      <c r="N6" t="s">
        <v>89</v>
      </c>
      <c r="O6" t="s">
        <v>95</v>
      </c>
      <c r="P6" t="s">
        <v>102</v>
      </c>
      <c r="R6" t="s">
        <v>111</v>
      </c>
    </row>
    <row r="7" spans="1:18" x14ac:dyDescent="0.25">
      <c r="B7" t="s">
        <v>11</v>
      </c>
      <c r="D7" t="s">
        <v>21</v>
      </c>
      <c r="E7" t="s">
        <v>28</v>
      </c>
      <c r="G7" t="s">
        <v>44</v>
      </c>
      <c r="H7" t="s">
        <v>49</v>
      </c>
      <c r="I7" t="s">
        <v>56</v>
      </c>
      <c r="J7" t="s">
        <v>63</v>
      </c>
      <c r="K7" t="s">
        <v>69</v>
      </c>
      <c r="L7" t="s">
        <v>75</v>
      </c>
      <c r="M7" t="s">
        <v>83</v>
      </c>
      <c r="O7" t="s">
        <v>96</v>
      </c>
    </row>
    <row r="8" spans="1:18" x14ac:dyDescent="0.25">
      <c r="D8" t="s">
        <v>10</v>
      </c>
      <c r="E8" t="s">
        <v>29</v>
      </c>
      <c r="G8" t="s">
        <v>45</v>
      </c>
      <c r="I8" t="s">
        <v>57</v>
      </c>
      <c r="K8" t="s">
        <v>70</v>
      </c>
      <c r="L8" t="s">
        <v>76</v>
      </c>
      <c r="M8" t="s">
        <v>84</v>
      </c>
      <c r="O8" t="s">
        <v>97</v>
      </c>
    </row>
    <row r="9" spans="1:18" x14ac:dyDescent="0.25">
      <c r="D9" t="s">
        <v>11</v>
      </c>
      <c r="E9" t="s">
        <v>30</v>
      </c>
    </row>
    <row r="10" spans="1:18" x14ac:dyDescent="0.25">
      <c r="E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CD87-729C-4FC6-A0D2-DCA082AC8106}">
  <sheetPr codeName="Hoja14">
    <tabColor rgb="FF152F4A"/>
    <pageSetUpPr fitToPage="1"/>
  </sheetPr>
  <dimension ref="A1:L17"/>
  <sheetViews>
    <sheetView showGridLines="0" tabSelected="1" workbookViewId="0">
      <selection sqref="A1:L3"/>
    </sheetView>
  </sheetViews>
  <sheetFormatPr baseColWidth="10" defaultRowHeight="15" x14ac:dyDescent="0.25"/>
  <cols>
    <col min="1" max="12" width="12.7109375" style="1" customWidth="1"/>
    <col min="13" max="16384" width="11.42578125" style="1"/>
  </cols>
  <sheetData>
    <row r="1" spans="1:12" ht="30" customHeight="1" x14ac:dyDescent="0.25">
      <c r="A1" s="50" t="s">
        <v>296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ht="30" customHeight="1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2" ht="30" customHeight="1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</row>
    <row r="5" spans="1:12" x14ac:dyDescent="0.25">
      <c r="A5" s="51" t="s">
        <v>297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</row>
    <row r="6" spans="1:12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</row>
    <row r="8" spans="1:12" x14ac:dyDescent="0.25">
      <c r="A8" s="52" t="s">
        <v>298</v>
      </c>
      <c r="B8" s="52"/>
      <c r="C8" s="52"/>
      <c r="D8" s="52"/>
      <c r="E8" s="52"/>
      <c r="F8" s="52"/>
      <c r="H8" s="55" t="s">
        <v>305</v>
      </c>
      <c r="I8" s="55"/>
      <c r="J8" s="55"/>
      <c r="K8" s="55"/>
      <c r="L8" s="55"/>
    </row>
    <row r="9" spans="1:12" ht="26.1" customHeight="1" x14ac:dyDescent="0.25">
      <c r="A9" s="53" t="s">
        <v>299</v>
      </c>
      <c r="B9" s="53"/>
      <c r="C9" s="53"/>
      <c r="D9" s="53"/>
      <c r="E9" s="53"/>
      <c r="F9" s="53"/>
      <c r="H9" s="56" t="s">
        <v>306</v>
      </c>
      <c r="I9" s="56"/>
      <c r="J9" s="56"/>
      <c r="K9" s="56"/>
      <c r="L9" s="56"/>
    </row>
    <row r="10" spans="1:12" ht="26.1" customHeight="1" x14ac:dyDescent="0.25">
      <c r="A10" s="54" t="s">
        <v>300</v>
      </c>
      <c r="B10" s="54"/>
      <c r="C10" s="54"/>
      <c r="D10" s="54"/>
      <c r="E10" s="54"/>
      <c r="F10" s="54"/>
      <c r="H10" s="54" t="s">
        <v>307</v>
      </c>
      <c r="I10" s="54"/>
      <c r="J10" s="54"/>
      <c r="K10" s="54"/>
      <c r="L10" s="54"/>
    </row>
    <row r="11" spans="1:12" ht="26.1" customHeight="1" x14ac:dyDescent="0.25">
      <c r="A11" s="53" t="s">
        <v>301</v>
      </c>
      <c r="B11" s="53"/>
      <c r="C11" s="53"/>
      <c r="D11" s="53"/>
      <c r="E11" s="53"/>
      <c r="F11" s="53"/>
      <c r="H11" s="56" t="s">
        <v>308</v>
      </c>
      <c r="I11" s="56"/>
      <c r="J11" s="56"/>
      <c r="K11" s="56"/>
      <c r="L11" s="56"/>
    </row>
    <row r="12" spans="1:12" ht="26.1" customHeight="1" x14ac:dyDescent="0.25">
      <c r="A12" s="54" t="s">
        <v>302</v>
      </c>
      <c r="B12" s="54"/>
      <c r="C12" s="54"/>
      <c r="D12" s="54"/>
      <c r="E12" s="54"/>
      <c r="F12" s="54"/>
      <c r="H12" s="54" t="s">
        <v>309</v>
      </c>
      <c r="I12" s="54"/>
      <c r="J12" s="54"/>
      <c r="K12" s="54"/>
      <c r="L12" s="54"/>
    </row>
    <row r="13" spans="1:12" ht="26.1" customHeight="1" x14ac:dyDescent="0.25">
      <c r="A13" s="53" t="s">
        <v>303</v>
      </c>
      <c r="B13" s="53"/>
      <c r="C13" s="53"/>
      <c r="D13" s="53"/>
      <c r="E13" s="53"/>
      <c r="F13" s="53"/>
      <c r="H13" s="56" t="s">
        <v>310</v>
      </c>
      <c r="I13" s="56"/>
      <c r="J13" s="56"/>
      <c r="K13" s="56"/>
      <c r="L13" s="56"/>
    </row>
    <row r="14" spans="1:12" ht="26.1" customHeight="1" x14ac:dyDescent="0.25">
      <c r="A14" s="54" t="s">
        <v>304</v>
      </c>
      <c r="B14" s="54"/>
      <c r="C14" s="54"/>
      <c r="D14" s="54"/>
      <c r="E14" s="54"/>
      <c r="F14" s="54"/>
      <c r="H14" s="54" t="s">
        <v>311</v>
      </c>
      <c r="I14" s="54"/>
      <c r="J14" s="54"/>
      <c r="K14" s="54"/>
      <c r="L14" s="54"/>
    </row>
    <row r="17" spans="1:12" x14ac:dyDescent="0.25">
      <c r="A17" s="57" t="s">
        <v>312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</row>
  </sheetData>
  <mergeCells count="17">
    <mergeCell ref="A17:L17"/>
    <mergeCell ref="A12:F12"/>
    <mergeCell ref="A13:F13"/>
    <mergeCell ref="A14:F14"/>
    <mergeCell ref="H8:L8"/>
    <mergeCell ref="H9:L9"/>
    <mergeCell ref="H10:L10"/>
    <mergeCell ref="H11:L11"/>
    <mergeCell ref="H12:L12"/>
    <mergeCell ref="H13:L13"/>
    <mergeCell ref="H14:L14"/>
    <mergeCell ref="A1:L3"/>
    <mergeCell ref="A5:L6"/>
    <mergeCell ref="A8:F8"/>
    <mergeCell ref="A9:F9"/>
    <mergeCell ref="A10:F10"/>
    <mergeCell ref="A11:F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61283-567D-422A-B249-66B70586CAE2}">
  <sheetPr codeName="Hoja13">
    <tabColor rgb="FF1F6AA6"/>
    <pageSetUpPr fitToPage="1"/>
  </sheetPr>
  <dimension ref="A1:S17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26.7109375" style="2" customWidth="1"/>
    <col min="3" max="4" width="18.7109375" style="2" customWidth="1"/>
    <col min="5" max="5" width="20.7109375" style="2" customWidth="1"/>
    <col min="6" max="6" width="15.7109375" style="2" customWidth="1"/>
    <col min="7" max="7" width="17.7109375" style="2" customWidth="1"/>
    <col min="8" max="8" width="16.7109375" style="2" customWidth="1"/>
    <col min="9" max="9" width="15.7109375" style="2" customWidth="1"/>
    <col min="10" max="10" width="19.7109375" style="2" customWidth="1"/>
    <col min="11" max="11" width="15.7109375" style="2" customWidth="1"/>
    <col min="12" max="13" width="18.7109375" style="2" customWidth="1"/>
    <col min="14" max="14" width="15.7109375" style="2" customWidth="1"/>
    <col min="15" max="15" width="22.7109375" style="2" customWidth="1"/>
    <col min="16" max="16" width="21.7109375" style="2" customWidth="1"/>
    <col min="17" max="17" width="18.7109375" style="2" customWidth="1"/>
    <col min="18" max="18" width="20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" t="s">
        <v>112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30" customHeight="1" x14ac:dyDescent="0.25">
      <c r="A2" s="4" t="s">
        <v>113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5" spans="1:19" ht="32.1" customHeight="1" x14ac:dyDescent="0.25">
      <c r="A5" s="5" t="s">
        <v>114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8.1" customHeight="1" x14ac:dyDescent="0.25"/>
    <row r="7" spans="1:19" ht="36" customHeight="1" x14ac:dyDescent="0.25">
      <c r="A7" s="19" t="s">
        <v>115</v>
      </c>
      <c r="B7" s="6" t="s">
        <v>116</v>
      </c>
      <c r="C7" s="6" t="s">
        <v>117</v>
      </c>
      <c r="D7" s="6" t="s">
        <v>118</v>
      </c>
      <c r="E7" s="6" t="s">
        <v>119</v>
      </c>
      <c r="F7" s="6" t="s">
        <v>120</v>
      </c>
      <c r="G7" s="6" t="s">
        <v>121</v>
      </c>
      <c r="H7" s="7" t="s">
        <v>122</v>
      </c>
      <c r="I7" s="6" t="s">
        <v>123</v>
      </c>
      <c r="J7" s="6" t="s">
        <v>124</v>
      </c>
      <c r="K7" s="6" t="s">
        <v>125</v>
      </c>
      <c r="L7" s="7" t="s">
        <v>126</v>
      </c>
      <c r="M7" s="7" t="s">
        <v>127</v>
      </c>
      <c r="N7" s="6" t="s">
        <v>128</v>
      </c>
      <c r="O7" s="6" t="s">
        <v>129</v>
      </c>
      <c r="P7" s="6" t="s">
        <v>130</v>
      </c>
      <c r="Q7" s="8" t="s">
        <v>131</v>
      </c>
      <c r="R7" s="6" t="s">
        <v>132</v>
      </c>
      <c r="S7" s="9" t="s">
        <v>133</v>
      </c>
    </row>
    <row r="8" spans="1:19" x14ac:dyDescent="0.25">
      <c r="A8" s="20" t="s">
        <v>134</v>
      </c>
      <c r="B8" s="10"/>
      <c r="C8" s="10"/>
      <c r="D8" s="10"/>
      <c r="E8" s="10"/>
      <c r="F8" s="10"/>
      <c r="G8" s="10"/>
      <c r="H8" s="11"/>
      <c r="I8" s="10" t="s">
        <v>104</v>
      </c>
      <c r="J8" s="10" t="s">
        <v>104</v>
      </c>
      <c r="K8" s="10" t="s">
        <v>105</v>
      </c>
      <c r="L8" s="11"/>
      <c r="M8" s="11"/>
      <c r="N8" s="10" t="s">
        <v>105</v>
      </c>
      <c r="O8" s="10"/>
      <c r="P8" s="10" t="s">
        <v>86</v>
      </c>
      <c r="Q8" s="12"/>
      <c r="R8" s="10"/>
      <c r="S8" s="13"/>
    </row>
    <row r="9" spans="1:19" x14ac:dyDescent="0.25">
      <c r="A9" s="20" t="s">
        <v>135</v>
      </c>
      <c r="B9" s="10"/>
      <c r="C9" s="10"/>
      <c r="D9" s="10"/>
      <c r="E9" s="10"/>
      <c r="F9" s="10"/>
      <c r="G9" s="10"/>
      <c r="H9" s="11"/>
      <c r="I9" s="10" t="s">
        <v>104</v>
      </c>
      <c r="J9" s="10" t="s">
        <v>104</v>
      </c>
      <c r="K9" s="10" t="s">
        <v>105</v>
      </c>
      <c r="L9" s="11"/>
      <c r="M9" s="11"/>
      <c r="N9" s="10" t="s">
        <v>105</v>
      </c>
      <c r="O9" s="10"/>
      <c r="P9" s="10" t="s">
        <v>86</v>
      </c>
      <c r="Q9" s="12"/>
      <c r="R9" s="10"/>
      <c r="S9" s="13"/>
    </row>
    <row r="10" spans="1:19" x14ac:dyDescent="0.25">
      <c r="A10" s="20" t="s">
        <v>136</v>
      </c>
      <c r="B10" s="10"/>
      <c r="C10" s="10"/>
      <c r="D10" s="10"/>
      <c r="E10" s="10"/>
      <c r="F10" s="10"/>
      <c r="G10" s="10"/>
      <c r="H10" s="11"/>
      <c r="I10" s="10" t="s">
        <v>104</v>
      </c>
      <c r="J10" s="10" t="s">
        <v>104</v>
      </c>
      <c r="K10" s="10" t="s">
        <v>105</v>
      </c>
      <c r="L10" s="11"/>
      <c r="M10" s="11"/>
      <c r="N10" s="10" t="s">
        <v>105</v>
      </c>
      <c r="O10" s="10"/>
      <c r="P10" s="10" t="s">
        <v>86</v>
      </c>
      <c r="Q10" s="12"/>
      <c r="R10" s="10"/>
      <c r="S10" s="13"/>
    </row>
    <row r="11" spans="1:19" x14ac:dyDescent="0.25">
      <c r="A11" s="20" t="s">
        <v>137</v>
      </c>
      <c r="B11" s="10"/>
      <c r="C11" s="10"/>
      <c r="D11" s="10"/>
      <c r="E11" s="10"/>
      <c r="F11" s="10"/>
      <c r="G11" s="10"/>
      <c r="H11" s="11"/>
      <c r="I11" s="10" t="s">
        <v>104</v>
      </c>
      <c r="J11" s="10" t="s">
        <v>104</v>
      </c>
      <c r="K11" s="10" t="s">
        <v>105</v>
      </c>
      <c r="L11" s="11"/>
      <c r="M11" s="11"/>
      <c r="N11" s="10" t="s">
        <v>105</v>
      </c>
      <c r="O11" s="10"/>
      <c r="P11" s="10" t="s">
        <v>86</v>
      </c>
      <c r="Q11" s="12"/>
      <c r="R11" s="10"/>
      <c r="S11" s="13"/>
    </row>
    <row r="12" spans="1:19" x14ac:dyDescent="0.25">
      <c r="A12" s="20" t="s">
        <v>138</v>
      </c>
      <c r="B12" s="10"/>
      <c r="C12" s="10"/>
      <c r="D12" s="10"/>
      <c r="E12" s="10"/>
      <c r="F12" s="10"/>
      <c r="G12" s="10"/>
      <c r="H12" s="11"/>
      <c r="I12" s="10" t="s">
        <v>104</v>
      </c>
      <c r="J12" s="10" t="s">
        <v>104</v>
      </c>
      <c r="K12" s="10" t="s">
        <v>105</v>
      </c>
      <c r="L12" s="11"/>
      <c r="M12" s="11"/>
      <c r="N12" s="10" t="s">
        <v>105</v>
      </c>
      <c r="O12" s="10"/>
      <c r="P12" s="10" t="s">
        <v>86</v>
      </c>
      <c r="Q12" s="12"/>
      <c r="R12" s="10"/>
      <c r="S12" s="13"/>
    </row>
    <row r="13" spans="1:19" x14ac:dyDescent="0.25">
      <c r="A13" s="20" t="s">
        <v>139</v>
      </c>
      <c r="B13" s="10"/>
      <c r="C13" s="10"/>
      <c r="D13" s="10"/>
      <c r="E13" s="10"/>
      <c r="F13" s="10"/>
      <c r="G13" s="10"/>
      <c r="H13" s="11"/>
      <c r="I13" s="10" t="s">
        <v>104</v>
      </c>
      <c r="J13" s="10" t="s">
        <v>104</v>
      </c>
      <c r="K13" s="10" t="s">
        <v>105</v>
      </c>
      <c r="L13" s="11"/>
      <c r="M13" s="11"/>
      <c r="N13" s="10" t="s">
        <v>105</v>
      </c>
      <c r="O13" s="10"/>
      <c r="P13" s="10" t="s">
        <v>86</v>
      </c>
      <c r="Q13" s="12"/>
      <c r="R13" s="10"/>
      <c r="S13" s="13"/>
    </row>
    <row r="14" spans="1:19" x14ac:dyDescent="0.25">
      <c r="A14" s="20" t="s">
        <v>140</v>
      </c>
      <c r="B14" s="10"/>
      <c r="C14" s="10"/>
      <c r="D14" s="10"/>
      <c r="E14" s="10"/>
      <c r="F14" s="10"/>
      <c r="G14" s="10"/>
      <c r="H14" s="11"/>
      <c r="I14" s="10" t="s">
        <v>104</v>
      </c>
      <c r="J14" s="10" t="s">
        <v>104</v>
      </c>
      <c r="K14" s="10" t="s">
        <v>105</v>
      </c>
      <c r="L14" s="11"/>
      <c r="M14" s="11"/>
      <c r="N14" s="10" t="s">
        <v>105</v>
      </c>
      <c r="O14" s="10"/>
      <c r="P14" s="10" t="s">
        <v>86</v>
      </c>
      <c r="Q14" s="12"/>
      <c r="R14" s="10"/>
      <c r="S14" s="13"/>
    </row>
    <row r="15" spans="1:19" x14ac:dyDescent="0.25">
      <c r="A15" s="20" t="s">
        <v>141</v>
      </c>
      <c r="B15" s="10"/>
      <c r="C15" s="10"/>
      <c r="D15" s="10"/>
      <c r="E15" s="10"/>
      <c r="F15" s="10"/>
      <c r="G15" s="10"/>
      <c r="H15" s="11"/>
      <c r="I15" s="10" t="s">
        <v>104</v>
      </c>
      <c r="J15" s="10" t="s">
        <v>104</v>
      </c>
      <c r="K15" s="10" t="s">
        <v>105</v>
      </c>
      <c r="L15" s="11"/>
      <c r="M15" s="11"/>
      <c r="N15" s="10" t="s">
        <v>105</v>
      </c>
      <c r="O15" s="10"/>
      <c r="P15" s="10" t="s">
        <v>86</v>
      </c>
      <c r="Q15" s="12"/>
      <c r="R15" s="10"/>
      <c r="S15" s="13"/>
    </row>
    <row r="16" spans="1:19" x14ac:dyDescent="0.25">
      <c r="A16" s="20" t="s">
        <v>142</v>
      </c>
      <c r="B16" s="10"/>
      <c r="C16" s="10"/>
      <c r="D16" s="10"/>
      <c r="E16" s="10"/>
      <c r="F16" s="10"/>
      <c r="G16" s="10"/>
      <c r="H16" s="11"/>
      <c r="I16" s="10" t="s">
        <v>104</v>
      </c>
      <c r="J16" s="10" t="s">
        <v>104</v>
      </c>
      <c r="K16" s="10" t="s">
        <v>105</v>
      </c>
      <c r="L16" s="11"/>
      <c r="M16" s="11"/>
      <c r="N16" s="10" t="s">
        <v>105</v>
      </c>
      <c r="O16" s="10"/>
      <c r="P16" s="10" t="s">
        <v>86</v>
      </c>
      <c r="Q16" s="12"/>
      <c r="R16" s="10"/>
      <c r="S16" s="13"/>
    </row>
    <row r="17" spans="1:19" x14ac:dyDescent="0.25">
      <c r="A17" s="21" t="s">
        <v>143</v>
      </c>
      <c r="B17" s="14"/>
      <c r="C17" s="14"/>
      <c r="D17" s="14"/>
      <c r="E17" s="14"/>
      <c r="F17" s="14"/>
      <c r="G17" s="14"/>
      <c r="H17" s="15"/>
      <c r="I17" s="14" t="s">
        <v>104</v>
      </c>
      <c r="J17" s="14" t="s">
        <v>104</v>
      </c>
      <c r="K17" s="14" t="s">
        <v>105</v>
      </c>
      <c r="L17" s="15"/>
      <c r="M17" s="15"/>
      <c r="N17" s="14" t="s">
        <v>105</v>
      </c>
      <c r="O17" s="14"/>
      <c r="P17" s="14" t="s">
        <v>86</v>
      </c>
      <c r="Q17" s="16"/>
      <c r="R17" s="14"/>
      <c r="S17" s="17"/>
    </row>
  </sheetData>
  <mergeCells count="3">
    <mergeCell ref="A1:S1"/>
    <mergeCell ref="A2:S2"/>
    <mergeCell ref="A5:S5"/>
  </mergeCells>
  <dataValidations count="7">
    <dataValidation type="list" allowBlank="1" showInputMessage="1" showErrorMessage="1" errorTitle="Valor no permitido" error="Selecciona un valor de la lista." sqref="F8:F17" xr:uid="{4495116F-3CD9-4B2A-8452-9E7EB5D33CA7}">
      <formula1>lstUnidades</formula1>
    </dataValidation>
    <dataValidation type="list" allowBlank="1" showInputMessage="1" showErrorMessage="1" errorTitle="Valor no permitido" error="Selecciona un valor de la lista." sqref="J8:J17" xr:uid="{43BF0373-3527-42EC-921E-196B8A9594EC}">
      <formula1>lstSiNo</formula1>
    </dataValidation>
    <dataValidation type="list" allowBlank="1" showInputMessage="1" showErrorMessage="1" errorTitle="Valor no permitido" error="Selecciona un valor de la lista." sqref="I8:I17" xr:uid="{CB498AF4-01F9-4E37-8CD3-73F4F2959C7D}">
      <formula1>lstSiNo</formula1>
    </dataValidation>
    <dataValidation type="list" allowBlank="1" showInputMessage="1" showErrorMessage="1" errorTitle="Valor no permitido" error="Selecciona un valor de la lista." sqref="P8:P17" xr:uid="{B4FA357E-6EEE-46C8-9D02-096C6313A015}">
      <formula1>lstEstadosRegistro</formula1>
    </dataValidation>
    <dataValidation type="list" allowBlank="1" showInputMessage="1" showErrorMessage="1" errorTitle="Valor no permitido" error="Selecciona un valor de la lista." sqref="N8:N17" xr:uid="{C31E476C-AD03-47B6-A2E9-9084B3FBCC7F}">
      <formula1>lstSiNo</formula1>
    </dataValidation>
    <dataValidation type="list" allowBlank="1" showInputMessage="1" showErrorMessage="1" errorTitle="Valor no permitido" error="Selecciona un valor de la lista." sqref="G8:G17" xr:uid="{157D2CCD-821C-4FAD-AC85-F0083A419FE8}">
      <formula1>lstUnidades</formula1>
    </dataValidation>
    <dataValidation type="list" allowBlank="1" showInputMessage="1" showErrorMessage="1" errorTitle="Valor no permitido" error="Selecciona un valor de la lista." sqref="K8:K17" xr:uid="{965B3CB4-161B-4AB5-890C-F15C01341A2A}">
      <formula1>lstSiNo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B2DAA-8A25-47F9-AD78-276B61988A43}">
  <sheetPr codeName="Hoja12">
    <tabColor rgb="FF1F6AA6"/>
    <pageSetUpPr fitToPage="1"/>
  </sheetPr>
  <dimension ref="A1:K14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23.7109375" style="2" customWidth="1"/>
    <col min="3" max="7" width="18.7109375" style="2" customWidth="1"/>
    <col min="8" max="8" width="15.7109375" style="2" customWidth="1"/>
    <col min="9" max="9" width="21.7109375" style="2" customWidth="1"/>
    <col min="10" max="10" width="20.7109375" style="2" customWidth="1"/>
    <col min="11" max="11" width="32.7109375" style="2" customWidth="1"/>
    <col min="12" max="16384" width="11.42578125" style="2"/>
  </cols>
  <sheetData>
    <row r="1" spans="1:11" ht="36" customHeight="1" x14ac:dyDescent="0.25">
      <c r="A1" s="3" t="s">
        <v>144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30" customHeight="1" x14ac:dyDescent="0.25">
      <c r="A2" s="4" t="s">
        <v>145</v>
      </c>
      <c r="B2" s="4"/>
      <c r="C2" s="4"/>
      <c r="D2" s="4"/>
      <c r="E2" s="4"/>
      <c r="F2" s="4"/>
      <c r="G2" s="4"/>
      <c r="H2" s="4"/>
      <c r="I2" s="4"/>
      <c r="J2" s="4"/>
      <c r="K2" s="4"/>
    </row>
    <row r="5" spans="1:11" ht="32.1" customHeight="1" x14ac:dyDescent="0.25">
      <c r="A5" s="5" t="s">
        <v>146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ht="8.1" customHeight="1" x14ac:dyDescent="0.25"/>
    <row r="7" spans="1:11" ht="36" customHeight="1" x14ac:dyDescent="0.25">
      <c r="A7" s="19" t="s">
        <v>147</v>
      </c>
      <c r="B7" s="6" t="s">
        <v>148</v>
      </c>
      <c r="C7" s="6" t="s">
        <v>149</v>
      </c>
      <c r="D7" s="6" t="s">
        <v>150</v>
      </c>
      <c r="E7" s="6" t="s">
        <v>151</v>
      </c>
      <c r="F7" s="6" t="s">
        <v>152</v>
      </c>
      <c r="G7" s="6" t="s">
        <v>153</v>
      </c>
      <c r="H7" s="6" t="s">
        <v>154</v>
      </c>
      <c r="I7" s="6" t="s">
        <v>130</v>
      </c>
      <c r="J7" s="6" t="s">
        <v>132</v>
      </c>
      <c r="K7" s="9" t="s">
        <v>133</v>
      </c>
    </row>
    <row r="8" spans="1:11" x14ac:dyDescent="0.25">
      <c r="A8" s="20" t="s">
        <v>155</v>
      </c>
      <c r="B8" s="10" t="s">
        <v>1</v>
      </c>
      <c r="C8" s="10" t="s">
        <v>156</v>
      </c>
      <c r="D8" s="10"/>
      <c r="E8" s="10"/>
      <c r="F8" s="10" t="s">
        <v>157</v>
      </c>
      <c r="G8" s="10" t="s">
        <v>104</v>
      </c>
      <c r="H8" s="10" t="s">
        <v>105</v>
      </c>
      <c r="I8" s="10" t="s">
        <v>49</v>
      </c>
      <c r="J8" s="10"/>
      <c r="K8" s="13"/>
    </row>
    <row r="9" spans="1:11" x14ac:dyDescent="0.25">
      <c r="A9" s="20" t="s">
        <v>158</v>
      </c>
      <c r="B9" s="10" t="s">
        <v>1</v>
      </c>
      <c r="C9" s="10" t="s">
        <v>159</v>
      </c>
      <c r="D9" s="10"/>
      <c r="E9" s="10"/>
      <c r="F9" s="10" t="s">
        <v>160</v>
      </c>
      <c r="G9" s="10" t="s">
        <v>104</v>
      </c>
      <c r="H9" s="10" t="s">
        <v>105</v>
      </c>
      <c r="I9" s="10" t="s">
        <v>49</v>
      </c>
      <c r="J9" s="10"/>
      <c r="K9" s="13"/>
    </row>
    <row r="10" spans="1:11" x14ac:dyDescent="0.25">
      <c r="A10" s="20" t="s">
        <v>161</v>
      </c>
      <c r="B10" s="10" t="s">
        <v>1</v>
      </c>
      <c r="C10" s="10" t="s">
        <v>162</v>
      </c>
      <c r="D10" s="10"/>
      <c r="E10" s="10"/>
      <c r="F10" s="10" t="s">
        <v>163</v>
      </c>
      <c r="G10" s="10" t="s">
        <v>104</v>
      </c>
      <c r="H10" s="10" t="s">
        <v>105</v>
      </c>
      <c r="I10" s="10" t="s">
        <v>49</v>
      </c>
      <c r="J10" s="10"/>
      <c r="K10" s="13"/>
    </row>
    <row r="11" spans="1:11" x14ac:dyDescent="0.25">
      <c r="A11" s="20" t="s">
        <v>164</v>
      </c>
      <c r="B11" s="10" t="s">
        <v>1</v>
      </c>
      <c r="C11" s="10" t="s">
        <v>165</v>
      </c>
      <c r="D11" s="10"/>
      <c r="E11" s="10"/>
      <c r="F11" s="10" t="s">
        <v>166</v>
      </c>
      <c r="G11" s="10" t="s">
        <v>104</v>
      </c>
      <c r="H11" s="10" t="s">
        <v>105</v>
      </c>
      <c r="I11" s="10" t="s">
        <v>49</v>
      </c>
      <c r="J11" s="10"/>
      <c r="K11" s="13"/>
    </row>
    <row r="12" spans="1:11" x14ac:dyDescent="0.25">
      <c r="A12" s="20" t="s">
        <v>167</v>
      </c>
      <c r="B12" s="10" t="s">
        <v>2</v>
      </c>
      <c r="C12" s="10" t="s">
        <v>159</v>
      </c>
      <c r="D12" s="10"/>
      <c r="E12" s="10"/>
      <c r="F12" s="10" t="s">
        <v>168</v>
      </c>
      <c r="G12" s="10" t="s">
        <v>104</v>
      </c>
      <c r="H12" s="10" t="s">
        <v>105</v>
      </c>
      <c r="I12" s="10" t="s">
        <v>49</v>
      </c>
      <c r="J12" s="10"/>
      <c r="K12" s="13"/>
    </row>
    <row r="13" spans="1:11" x14ac:dyDescent="0.25">
      <c r="A13" s="20" t="s">
        <v>169</v>
      </c>
      <c r="B13" s="10" t="s">
        <v>3</v>
      </c>
      <c r="C13" s="10" t="s">
        <v>159</v>
      </c>
      <c r="D13" s="10"/>
      <c r="E13" s="10"/>
      <c r="F13" s="10" t="s">
        <v>168</v>
      </c>
      <c r="G13" s="10" t="s">
        <v>104</v>
      </c>
      <c r="H13" s="10" t="s">
        <v>105</v>
      </c>
      <c r="I13" s="10" t="s">
        <v>49</v>
      </c>
      <c r="J13" s="10"/>
      <c r="K13" s="13"/>
    </row>
    <row r="14" spans="1:11" x14ac:dyDescent="0.25">
      <c r="A14" s="21" t="s">
        <v>170</v>
      </c>
      <c r="B14" s="14" t="s">
        <v>4</v>
      </c>
      <c r="C14" s="14" t="s">
        <v>159</v>
      </c>
      <c r="D14" s="14"/>
      <c r="E14" s="14"/>
      <c r="F14" s="14" t="s">
        <v>168</v>
      </c>
      <c r="G14" s="14" t="s">
        <v>104</v>
      </c>
      <c r="H14" s="14" t="s">
        <v>105</v>
      </c>
      <c r="I14" s="14" t="s">
        <v>49</v>
      </c>
      <c r="J14" s="14"/>
      <c r="K14" s="17"/>
    </row>
  </sheetData>
  <mergeCells count="3">
    <mergeCell ref="A1:K1"/>
    <mergeCell ref="A2:K2"/>
    <mergeCell ref="A5:K5"/>
  </mergeCells>
  <dataValidations count="4">
    <dataValidation type="list" allowBlank="1" showInputMessage="1" showErrorMessage="1" errorTitle="Valor no permitido" error="Selecciona un valor de la lista." sqref="B8:B14" xr:uid="{ABA0086D-E8C0-42C9-BF3E-DE28944337B9}">
      <formula1>lstSedes</formula1>
    </dataValidation>
    <dataValidation type="list" allowBlank="1" showInputMessage="1" showErrorMessage="1" errorTitle="Valor no permitido" error="Selecciona un valor de la lista." sqref="I8:I14" xr:uid="{2A0C24A8-D8A1-42E7-9428-3AD78983976A}">
      <formula1>lstEstadosRegistro</formula1>
    </dataValidation>
    <dataValidation type="list" allowBlank="1" showInputMessage="1" showErrorMessage="1" errorTitle="Valor no permitido" error="Selecciona un valor de la lista." sqref="H8:H14" xr:uid="{843D0382-739D-417E-B230-71264FF60D68}">
      <formula1>lstSiNo</formula1>
    </dataValidation>
    <dataValidation type="list" allowBlank="1" showInputMessage="1" showErrorMessage="1" errorTitle="Valor no permitido" error="Selecciona un valor de la lista." sqref="G8:G14" xr:uid="{940D1C4A-DC1A-4C97-9A72-D118BF1448CB}">
      <formula1>lstSiNo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871BF-7968-4DC2-A4CA-C49722A1B3BA}">
  <sheetPr codeName="Hoja11">
    <tabColor rgb="FF148480"/>
    <pageSetUpPr fitToPage="1"/>
  </sheetPr>
  <dimension ref="A1:P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19.7109375" style="2" customWidth="1"/>
    <col min="3" max="5" width="20.7109375" style="2" customWidth="1"/>
    <col min="6" max="6" width="13.7109375" style="2" customWidth="1"/>
    <col min="7" max="7" width="20.7109375" style="2" customWidth="1"/>
    <col min="8" max="8" width="19.7109375" style="2" customWidth="1"/>
    <col min="9" max="9" width="18.7109375" style="2" customWidth="1"/>
    <col min="10" max="10" width="13.7109375" style="2" customWidth="1"/>
    <col min="11" max="12" width="18.7109375" style="2" customWidth="1"/>
    <col min="13" max="13" width="15.7109375" style="2" customWidth="1"/>
    <col min="14" max="14" width="18.7109375" style="2" customWidth="1"/>
    <col min="15" max="15" width="23.7109375" style="2" customWidth="1"/>
    <col min="16" max="16" width="32.7109375" style="2" customWidth="1"/>
    <col min="17" max="16384" width="11.42578125" style="2"/>
  </cols>
  <sheetData>
    <row r="1" spans="1:16" ht="36" customHeight="1" x14ac:dyDescent="0.25">
      <c r="A1" s="3" t="s">
        <v>171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30" customHeight="1" x14ac:dyDescent="0.25">
      <c r="A2" s="4" t="s">
        <v>172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5" spans="1:16" ht="32.1" customHeight="1" x14ac:dyDescent="0.25">
      <c r="A5" s="5" t="s">
        <v>173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16" ht="8.1" customHeight="1" x14ac:dyDescent="0.25"/>
    <row r="7" spans="1:16" ht="36" customHeight="1" x14ac:dyDescent="0.25">
      <c r="A7" s="19" t="s">
        <v>174</v>
      </c>
      <c r="B7" s="8" t="s">
        <v>175</v>
      </c>
      <c r="C7" s="6" t="s">
        <v>176</v>
      </c>
      <c r="D7" s="6" t="s">
        <v>177</v>
      </c>
      <c r="E7" s="6" t="s">
        <v>178</v>
      </c>
      <c r="F7" s="6" t="s">
        <v>179</v>
      </c>
      <c r="G7" s="6" t="s">
        <v>180</v>
      </c>
      <c r="H7" s="6" t="s">
        <v>115</v>
      </c>
      <c r="I7" s="6" t="s">
        <v>119</v>
      </c>
      <c r="J7" s="6" t="s">
        <v>23</v>
      </c>
      <c r="K7" s="7" t="s">
        <v>181</v>
      </c>
      <c r="L7" s="7" t="s">
        <v>182</v>
      </c>
      <c r="M7" s="22" t="s">
        <v>183</v>
      </c>
      <c r="N7" s="8" t="s">
        <v>184</v>
      </c>
      <c r="O7" s="6" t="s">
        <v>185</v>
      </c>
      <c r="P7" s="9" t="s">
        <v>133</v>
      </c>
    </row>
    <row r="8" spans="1:16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5"/>
      <c r="M8" s="23" t="str">
        <f>IF(OR(K8="",L8=""),"",IFERROR(L8/K8,0))</f>
        <v/>
      </c>
      <c r="N8" s="16"/>
      <c r="O8" s="14"/>
      <c r="P8" s="17"/>
    </row>
  </sheetData>
  <mergeCells count="3">
    <mergeCell ref="A1:P1"/>
    <mergeCell ref="A2:P2"/>
    <mergeCell ref="A5:P5"/>
  </mergeCells>
  <dataValidations count="6">
    <dataValidation type="list" allowBlank="1" showInputMessage="1" showErrorMessage="1" errorTitle="Valor no permitido" error="Selecciona un valor de la lista." sqref="E8" xr:uid="{928684F5-E685-4F7F-9D62-D5DA218C7271}">
      <formula1>lstUbicaciones</formula1>
    </dataValidation>
    <dataValidation type="list" allowBlank="1" showInputMessage="1" showErrorMessage="1" errorTitle="Valor no permitido" error="Selecciona un valor de la lista." sqref="G8" xr:uid="{4637BDBC-CB85-44B0-9F01-A32E7C35537A}">
      <formula1>lstEstadosSolicitud</formula1>
    </dataValidation>
    <dataValidation type="list" allowBlank="1" showInputMessage="1" showErrorMessage="1" errorTitle="Valor no permitido" error="Selecciona un valor de la lista." sqref="J8" xr:uid="{9D27021B-C30F-49A0-8463-3EC78B1D0B5F}">
      <formula1>lstUnidades</formula1>
    </dataValidation>
    <dataValidation type="list" allowBlank="1" showInputMessage="1" showErrorMessage="1" errorTitle="Valor no permitido" error="Selecciona un valor de la lista." sqref="F8" xr:uid="{2611A28A-E885-46BD-8C24-509039C67D3B}">
      <formula1>lstPrioridades</formula1>
    </dataValidation>
    <dataValidation type="list" allowBlank="1" showInputMessage="1" showErrorMessage="1" errorTitle="Valor no permitido" error="Selecciona un valor de la lista." sqref="D8" xr:uid="{F6371279-CCDF-4499-ADA8-F7D5C56E2E70}">
      <formula1>lstUbicaciones</formula1>
    </dataValidation>
    <dataValidation type="list" allowBlank="1" showInputMessage="1" showErrorMessage="1" errorTitle="Valor no permitido" error="Selecciona un valor de la lista." sqref="H8" xr:uid="{509EBC36-8963-48C8-B1C9-54A3FBD2DA83}">
      <formula1>lstProductos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6153C-444F-4D66-9C2B-4AA9FC8CECEA}">
  <sheetPr codeName="Hoja10">
    <tabColor rgb="FF148480"/>
    <pageSetUpPr fitToPage="1"/>
  </sheetPr>
  <dimension ref="A1:W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8.7109375" style="2" customWidth="1"/>
    <col min="3" max="3" width="19.7109375" style="2" customWidth="1"/>
    <col min="4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8.7109375" style="2" customWidth="1"/>
    <col min="11" max="11" width="13.7109375" style="2" customWidth="1"/>
    <col min="12" max="14" width="18.7109375" style="2" customWidth="1"/>
    <col min="15" max="15" width="17.7109375" style="2" customWidth="1"/>
    <col min="16" max="16" width="19.7109375" style="2" customWidth="1"/>
    <col min="17" max="17" width="18.7109375" style="2" customWidth="1"/>
    <col min="18" max="18" width="20.7109375" style="2" customWidth="1"/>
    <col min="19" max="19" width="16.7109375" style="2" customWidth="1"/>
    <col min="20" max="21" width="20.7109375" style="2" customWidth="1"/>
    <col min="22" max="22" width="28.7109375" style="2" customWidth="1"/>
    <col min="23" max="23" width="32.7109375" style="2" customWidth="1"/>
    <col min="24" max="16384" width="11.42578125" style="2"/>
  </cols>
  <sheetData>
    <row r="1" spans="1:23" ht="36" customHeight="1" x14ac:dyDescent="0.25">
      <c r="A1" s="3" t="s">
        <v>186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30" customHeight="1" x14ac:dyDescent="0.25">
      <c r="A2" s="4" t="s">
        <v>187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5" spans="1:23" ht="32.1" customHeight="1" x14ac:dyDescent="0.25">
      <c r="A5" s="5" t="s">
        <v>188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8.1" customHeight="1" x14ac:dyDescent="0.25"/>
    <row r="7" spans="1:23" ht="36" customHeight="1" x14ac:dyDescent="0.25">
      <c r="A7" s="19" t="s">
        <v>189</v>
      </c>
      <c r="B7" s="6" t="s">
        <v>174</v>
      </c>
      <c r="C7" s="8" t="s">
        <v>190</v>
      </c>
      <c r="D7" s="6" t="s">
        <v>177</v>
      </c>
      <c r="E7" s="6" t="s">
        <v>178</v>
      </c>
      <c r="F7" s="6" t="s">
        <v>180</v>
      </c>
      <c r="G7" s="6" t="s">
        <v>115</v>
      </c>
      <c r="H7" s="6" t="s">
        <v>119</v>
      </c>
      <c r="I7" s="6" t="s">
        <v>191</v>
      </c>
      <c r="J7" s="8" t="s">
        <v>192</v>
      </c>
      <c r="K7" s="6" t="s">
        <v>23</v>
      </c>
      <c r="L7" s="7" t="s">
        <v>181</v>
      </c>
      <c r="M7" s="7" t="s">
        <v>182</v>
      </c>
      <c r="N7" s="7" t="s">
        <v>193</v>
      </c>
      <c r="O7" s="7" t="s">
        <v>194</v>
      </c>
      <c r="P7" s="7" t="s">
        <v>195</v>
      </c>
      <c r="Q7" s="7" t="s">
        <v>196</v>
      </c>
      <c r="R7" s="7" t="s">
        <v>197</v>
      </c>
      <c r="S7" s="22" t="s">
        <v>198</v>
      </c>
      <c r="T7" s="6" t="s">
        <v>199</v>
      </c>
      <c r="U7" s="6" t="s">
        <v>200</v>
      </c>
      <c r="V7" s="6" t="s">
        <v>201</v>
      </c>
      <c r="W7" s="9" t="s">
        <v>133</v>
      </c>
    </row>
    <row r="8" spans="1:23" x14ac:dyDescent="0.25">
      <c r="A8" s="21"/>
      <c r="B8" s="14"/>
      <c r="C8" s="16"/>
      <c r="D8" s="14"/>
      <c r="E8" s="14"/>
      <c r="F8" s="14"/>
      <c r="G8" s="14"/>
      <c r="H8" s="14"/>
      <c r="I8" s="14"/>
      <c r="J8" s="16"/>
      <c r="K8" s="14"/>
      <c r="L8" s="15"/>
      <c r="M8" s="15"/>
      <c r="N8" s="15"/>
      <c r="O8" s="15"/>
      <c r="P8" s="15"/>
      <c r="Q8" s="24" t="str">
        <f>IF(OR(A8="",G8=""),"",SUMIFS('[1]05_RECEPCIONES'!$I$8:$I$200,'[1]05_RECEPCIONES'!$B$8:$B$200,A8,'[1]05_RECEPCIONES'!$F$8:$F$200,G8,'[1]05_RECEPCIONES'!$G$8:$G$200,I8))</f>
        <v/>
      </c>
      <c r="R8" s="24" t="str">
        <f>IF(OR(P8="",Q8=""),"",Q8-P8)</f>
        <v/>
      </c>
      <c r="S8" s="23" t="str">
        <f>IF(OR(P8="",Q8=""),"",IFERROR(Q8/P8,0))</f>
        <v/>
      </c>
      <c r="T8" s="14"/>
      <c r="U8" s="14"/>
      <c r="V8" s="14"/>
      <c r="W8" s="17"/>
    </row>
  </sheetData>
  <mergeCells count="3">
    <mergeCell ref="A1:W1"/>
    <mergeCell ref="A2:W2"/>
    <mergeCell ref="A5:W5"/>
  </mergeCells>
  <dataValidations count="5">
    <dataValidation type="list" allowBlank="1" showInputMessage="1" showErrorMessage="1" errorTitle="Valor no permitido" error="Selecciona un valor de la lista." sqref="G8" xr:uid="{220BAA20-15F4-413D-9B91-D5517B97B250}">
      <formula1>lstProductos</formula1>
    </dataValidation>
    <dataValidation type="list" allowBlank="1" showInputMessage="1" showErrorMessage="1" errorTitle="Valor no permitido" error="Selecciona un valor de la lista." sqref="K8" xr:uid="{E86F58E7-992D-4239-9F63-3E0F32500A07}">
      <formula1>lstUnidades</formula1>
    </dataValidation>
    <dataValidation type="list" allowBlank="1" showInputMessage="1" showErrorMessage="1" errorTitle="Valor no permitido" error="Selecciona un valor de la lista." sqref="F8" xr:uid="{E7B8AF62-7F4F-4A58-B8D9-32B6D05AAC80}">
      <formula1>lstEstadosRemision</formula1>
    </dataValidation>
    <dataValidation type="list" allowBlank="1" showInputMessage="1" showErrorMessage="1" errorTitle="Valor no permitido" error="Selecciona un valor de la lista." sqref="D8" xr:uid="{0FFA3302-E1D6-4F0A-8CA9-F1F50BEE6EED}">
      <formula1>lstUbicaciones</formula1>
    </dataValidation>
    <dataValidation type="list" allowBlank="1" showInputMessage="1" showErrorMessage="1" errorTitle="Valor no permitido" error="Selecciona un valor de la lista." sqref="E8" xr:uid="{4D28D83B-8ABB-44F9-974F-9B904E357658}">
      <formula1>lstUbicaciones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0CFA-9CD6-4479-8D5C-866BC3AE4415}">
  <sheetPr codeName="Hoja9">
    <tabColor rgb="FF148480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8.7109375" style="2" customWidth="1"/>
    <col min="3" max="3" width="19.7109375" style="2" customWidth="1"/>
    <col min="4" max="4" width="20.7109375" style="2" customWidth="1"/>
    <col min="5" max="5" width="18.7109375" style="2" customWidth="1"/>
    <col min="6" max="6" width="19.7109375" style="2" customWidth="1"/>
    <col min="7" max="7" width="16.7109375" style="2" customWidth="1"/>
    <col min="8" max="8" width="13.7109375" style="2" customWidth="1"/>
    <col min="9" max="10" width="18.7109375" style="2" customWidth="1"/>
    <col min="11" max="11" width="21.7109375" style="2" customWidth="1"/>
    <col min="12" max="12" width="15.7109375" style="2" customWidth="1"/>
    <col min="13" max="13" width="22.7109375" style="2" customWidth="1"/>
    <col min="14" max="14" width="18.7109375" style="2" customWidth="1"/>
    <col min="15" max="15" width="20.7109375" style="2" customWidth="1"/>
    <col min="16" max="16" width="2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203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204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205</v>
      </c>
      <c r="B7" s="6" t="s">
        <v>189</v>
      </c>
      <c r="C7" s="8" t="s">
        <v>206</v>
      </c>
      <c r="D7" s="6" t="s">
        <v>178</v>
      </c>
      <c r="E7" s="6" t="s">
        <v>207</v>
      </c>
      <c r="F7" s="6" t="s">
        <v>115</v>
      </c>
      <c r="G7" s="6" t="s">
        <v>191</v>
      </c>
      <c r="H7" s="6" t="s">
        <v>23</v>
      </c>
      <c r="I7" s="7" t="s">
        <v>196</v>
      </c>
      <c r="J7" s="7" t="s">
        <v>208</v>
      </c>
      <c r="K7" s="7" t="s">
        <v>209</v>
      </c>
      <c r="L7" s="7" t="s">
        <v>210</v>
      </c>
      <c r="M7" s="6" t="s">
        <v>211</v>
      </c>
      <c r="N7" s="6" t="s">
        <v>212</v>
      </c>
      <c r="O7" s="6" t="s">
        <v>132</v>
      </c>
      <c r="P7" s="6" t="s">
        <v>201</v>
      </c>
      <c r="Q7" s="9" t="s">
        <v>133</v>
      </c>
    </row>
    <row r="8" spans="1:17" x14ac:dyDescent="0.25">
      <c r="A8" s="21"/>
      <c r="B8" s="14"/>
      <c r="C8" s="16"/>
      <c r="D8" s="14"/>
      <c r="E8" s="14"/>
      <c r="F8" s="14"/>
      <c r="G8" s="14"/>
      <c r="H8" s="14"/>
      <c r="I8" s="15"/>
      <c r="J8" s="15"/>
      <c r="K8" s="15"/>
      <c r="L8" s="15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D8" xr:uid="{219E4D41-7F9E-4024-AF57-8724960E368B}">
      <formula1>lstUbicaciones</formula1>
    </dataValidation>
    <dataValidation type="list" allowBlank="1" showInputMessage="1" showErrorMessage="1" errorTitle="Valor no permitido" error="Selecciona un valor de la lista." sqref="N8" xr:uid="{DF9B137A-B143-42EB-9535-8B9E257C8E03}">
      <formula1>lstDecisiones</formula1>
    </dataValidation>
    <dataValidation type="list" allowBlank="1" showInputMessage="1" showErrorMessage="1" errorTitle="Valor no permitido" error="Selecciona un valor de la lista." sqref="E8" xr:uid="{62E90B51-22BD-4B37-BEFE-F139DD58733E}">
      <formula1>lstMetodosRecepcion</formula1>
    </dataValidation>
    <dataValidation type="list" allowBlank="1" showInputMessage="1" showErrorMessage="1" errorTitle="Valor no permitido" error="Selecciona un valor de la lista." sqref="H8" xr:uid="{B298FBB1-C4E7-462E-BAC2-2F97ED6AEEDF}">
      <formula1>lstUnidades</formula1>
    </dataValidation>
    <dataValidation type="list" allowBlank="1" showInputMessage="1" showErrorMessage="1" errorTitle="Valor no permitido" error="Selecciona un valor de la lista." sqref="F8" xr:uid="{D0CC35E4-A988-42A9-A391-6FD6D5079061}">
      <formula1>lstProductos</formula1>
    </dataValidation>
    <dataValidation type="list" allowBlank="1" showInputMessage="1" showErrorMessage="1" errorTitle="Valor no permitido" error="Selecciona un valor de la lista." sqref="M8" xr:uid="{9C5138C8-5C8E-4A53-A087-F9869A66634F}">
      <formula1>lstCondiciones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B63C-E298-4B66-8BC5-177F328E7C31}">
  <sheetPr codeName="Hoja8">
    <tabColor rgb="FFE67E22"/>
    <pageSetUpPr fitToPage="1"/>
  </sheetPr>
  <dimension ref="A1:R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0.7109375" style="18" customWidth="1"/>
    <col min="2" max="2" width="19.7109375" style="2" customWidth="1"/>
    <col min="3" max="3" width="22.7109375" style="2" customWidth="1"/>
    <col min="4" max="4" width="19.7109375" style="2" customWidth="1"/>
    <col min="5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3.7109375" style="2" customWidth="1"/>
    <col min="11" max="11" width="25.7109375" style="2" customWidth="1"/>
    <col min="12" max="12" width="18.7109375" style="2" customWidth="1"/>
    <col min="13" max="13" width="15.7109375" style="2" customWidth="1"/>
    <col min="14" max="14" width="30.7109375" style="2" customWidth="1"/>
    <col min="15" max="15" width="21.7109375" style="2" customWidth="1"/>
    <col min="16" max="16" width="18.7109375" style="2" customWidth="1"/>
    <col min="17" max="17" width="28.7109375" style="2" customWidth="1"/>
    <col min="18" max="18" width="32.7109375" style="2" customWidth="1"/>
    <col min="19" max="16384" width="11.42578125" style="2"/>
  </cols>
  <sheetData>
    <row r="1" spans="1:18" ht="36" customHeight="1" x14ac:dyDescent="0.25">
      <c r="A1" s="3" t="s">
        <v>213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30" customHeight="1" x14ac:dyDescent="0.25">
      <c r="A2" s="4" t="s">
        <v>214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5" spans="1:18" ht="32.1" customHeight="1" x14ac:dyDescent="0.25">
      <c r="A5" s="5" t="s">
        <v>215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ht="8.1" customHeight="1" x14ac:dyDescent="0.25"/>
    <row r="7" spans="1:18" ht="36" customHeight="1" x14ac:dyDescent="0.25">
      <c r="A7" s="19" t="s">
        <v>216</v>
      </c>
      <c r="B7" s="8" t="s">
        <v>217</v>
      </c>
      <c r="C7" s="6" t="s">
        <v>148</v>
      </c>
      <c r="D7" s="6" t="s">
        <v>147</v>
      </c>
      <c r="E7" s="6" t="s">
        <v>132</v>
      </c>
      <c r="F7" s="6" t="s">
        <v>218</v>
      </c>
      <c r="G7" s="6" t="s">
        <v>115</v>
      </c>
      <c r="H7" s="6" t="s">
        <v>119</v>
      </c>
      <c r="I7" s="6" t="s">
        <v>191</v>
      </c>
      <c r="J7" s="6" t="s">
        <v>23</v>
      </c>
      <c r="K7" s="7" t="s">
        <v>219</v>
      </c>
      <c r="L7" s="7" t="s">
        <v>220</v>
      </c>
      <c r="M7" s="7" t="s">
        <v>221</v>
      </c>
      <c r="N7" s="6" t="s">
        <v>222</v>
      </c>
      <c r="O7" s="6" t="s">
        <v>223</v>
      </c>
      <c r="P7" s="6" t="s">
        <v>180</v>
      </c>
      <c r="Q7" s="6" t="s">
        <v>201</v>
      </c>
      <c r="R7" s="9" t="s">
        <v>133</v>
      </c>
    </row>
    <row r="8" spans="1:18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5"/>
      <c r="M8" s="24" t="str">
        <f>IF(OR(K8="",L8=""),"",L8-K8)</f>
        <v/>
      </c>
      <c r="N8" s="14"/>
      <c r="O8" s="14"/>
      <c r="P8" s="14"/>
      <c r="Q8" s="14"/>
      <c r="R8" s="17"/>
    </row>
  </sheetData>
  <mergeCells count="3">
    <mergeCell ref="A1:R1"/>
    <mergeCell ref="A2:R2"/>
    <mergeCell ref="A5:R5"/>
  </mergeCells>
  <dataValidations count="6">
    <dataValidation type="list" allowBlank="1" showInputMessage="1" showErrorMessage="1" errorTitle="Valor no permitido" error="Selecciona un valor de la lista." sqref="C8" xr:uid="{DF7EBB8E-EEED-4A6B-A865-454609110148}">
      <formula1>lstSedes</formula1>
    </dataValidation>
    <dataValidation type="list" allowBlank="1" showInputMessage="1" showErrorMessage="1" errorTitle="Valor no permitido" error="Selecciona un valor de la lista." sqref="D8" xr:uid="{B86829E2-D90A-433E-9733-5BD9152519B8}">
      <formula1>lstUbicaciones</formula1>
    </dataValidation>
    <dataValidation type="list" allowBlank="1" showInputMessage="1" showErrorMessage="1" errorTitle="Valor no permitido" error="Selecciona un valor de la lista." sqref="F8" xr:uid="{A2DC839E-50E2-4149-8019-ABC793603FCC}">
      <formula1>lstMetodosConteo</formula1>
    </dataValidation>
    <dataValidation type="list" allowBlank="1" showInputMessage="1" showErrorMessage="1" errorTitle="Valor no permitido" error="Selecciona un valor de la lista." sqref="J8" xr:uid="{9294560D-836C-4308-8B5F-D92B242D7974}">
      <formula1>lstUnidades</formula1>
    </dataValidation>
    <dataValidation type="list" allowBlank="1" showInputMessage="1" showErrorMessage="1" errorTitle="Valor no permitido" error="Selecciona un valor de la lista." sqref="G8" xr:uid="{BAEF7986-B6A5-42E6-B099-8975FDD6D9F8}">
      <formula1>lstProductos</formula1>
    </dataValidation>
    <dataValidation type="list" allowBlank="1" showInputMessage="1" showErrorMessage="1" errorTitle="Valor no permitido" error="Selecciona un valor de la lista." sqref="P8" xr:uid="{9A01539E-9E40-4D73-ACA5-141242C71FE2}">
      <formula1>lstEstadosOperacion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67BF-8D94-4BD4-AF58-96C578FEB225}">
  <sheetPr codeName="Hoja7">
    <tabColor rgb="FFE67E22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8" customWidth="1"/>
    <col min="2" max="2" width="19.7109375" style="2" customWidth="1"/>
    <col min="3" max="3" width="21.7109375" style="2" customWidth="1"/>
    <col min="4" max="5" width="20.7109375" style="2" customWidth="1"/>
    <col min="6" max="6" width="19.7109375" style="2" customWidth="1"/>
    <col min="7" max="7" width="18.7109375" style="2" customWidth="1"/>
    <col min="8" max="8" width="16.7109375" style="2" customWidth="1"/>
    <col min="9" max="9" width="13.7109375" style="2" customWidth="1"/>
    <col min="10" max="10" width="15.7109375" style="2" customWidth="1"/>
    <col min="11" max="12" width="20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226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227</v>
      </c>
      <c r="B7" s="8" t="s">
        <v>228</v>
      </c>
      <c r="C7" s="6" t="s">
        <v>229</v>
      </c>
      <c r="D7" s="6" t="s">
        <v>177</v>
      </c>
      <c r="E7" s="6" t="s">
        <v>178</v>
      </c>
      <c r="F7" s="6" t="s">
        <v>115</v>
      </c>
      <c r="G7" s="6" t="s">
        <v>119</v>
      </c>
      <c r="H7" s="6" t="s">
        <v>191</v>
      </c>
      <c r="I7" s="6" t="s">
        <v>23</v>
      </c>
      <c r="J7" s="7" t="s">
        <v>230</v>
      </c>
      <c r="K7" s="6" t="s">
        <v>199</v>
      </c>
      <c r="L7" s="6" t="s">
        <v>231</v>
      </c>
      <c r="M7" s="6" t="s">
        <v>232</v>
      </c>
      <c r="N7" s="6" t="s">
        <v>132</v>
      </c>
      <c r="O7" s="6" t="s">
        <v>201</v>
      </c>
      <c r="P7" s="6" t="s">
        <v>180</v>
      </c>
      <c r="Q7" s="9" t="s">
        <v>133</v>
      </c>
    </row>
    <row r="8" spans="1:17" x14ac:dyDescent="0.25">
      <c r="A8" s="21"/>
      <c r="B8" s="16"/>
      <c r="C8" s="14"/>
      <c r="D8" s="14"/>
      <c r="E8" s="14"/>
      <c r="F8" s="14"/>
      <c r="G8" s="14"/>
      <c r="H8" s="14"/>
      <c r="I8" s="14"/>
      <c r="J8" s="15"/>
      <c r="K8" s="14"/>
      <c r="L8" s="14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F73AB0BB-BE0A-4D90-A9BA-53E1F2AA7585}">
      <formula1>lstUbicaciones</formula1>
    </dataValidation>
    <dataValidation type="list" allowBlank="1" showInputMessage="1" showErrorMessage="1" errorTitle="Valor no permitido" error="Selecciona un valor de la lista." sqref="I8" xr:uid="{7631E1D9-F755-4261-9B01-1F63A9436369}">
      <formula1>lstUnidades</formula1>
    </dataValidation>
    <dataValidation type="list" allowBlank="1" showInputMessage="1" showErrorMessage="1" errorTitle="Valor no permitido" error="Selecciona un valor de la lista." sqref="P8" xr:uid="{C8714A40-318A-4B17-9FF6-C7513485A04A}">
      <formula1>lstEstadosOperacion</formula1>
    </dataValidation>
    <dataValidation type="list" allowBlank="1" showInputMessage="1" showErrorMessage="1" errorTitle="Valor no permitido" error="Selecciona un valor de la lista." sqref="C8" xr:uid="{4FE0F1DC-9D44-4E91-AFA2-380FB4C8DB38}">
      <formula1>lstTiposMovimiento</formula1>
    </dataValidation>
    <dataValidation type="list" allowBlank="1" showInputMessage="1" showErrorMessage="1" errorTitle="Valor no permitido" error="Selecciona un valor de la lista." sqref="F8" xr:uid="{12E8881C-C959-47E7-AB35-54E3F4FF6CEE}">
      <formula1>lstProductos</formula1>
    </dataValidation>
    <dataValidation type="list" allowBlank="1" showInputMessage="1" showErrorMessage="1" errorTitle="Valor no permitido" error="Selecciona un valor de la lista." sqref="D8" xr:uid="{6A10A250-C637-4AF1-A587-2002535F0634}">
      <formula1>lstUbicaciones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0FA9-6782-4041-B483-50EBD85E8A9B}">
  <sheetPr codeName="Hoja6">
    <tabColor rgb="FFE67E22"/>
    <pageSetUpPr fitToPage="1"/>
  </sheetPr>
  <dimension ref="A1:U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2.7109375" style="18" customWidth="1"/>
    <col min="2" max="2" width="19.7109375" style="2" customWidth="1"/>
    <col min="3" max="3" width="18.7109375" style="2" customWidth="1"/>
    <col min="4" max="5" width="16.7109375" style="2" customWidth="1"/>
    <col min="6" max="6" width="20.7109375" style="2" customWidth="1"/>
    <col min="7" max="7" width="18.7109375" style="2" customWidth="1"/>
    <col min="8" max="8" width="21.7109375" style="2" customWidth="1"/>
    <col min="9" max="10" width="16.7109375" style="2" customWidth="1"/>
    <col min="11" max="11" width="17.7109375" style="2" customWidth="1"/>
    <col min="12" max="12" width="21.7109375" style="2" customWidth="1"/>
    <col min="13" max="15" width="15.7109375" style="2" customWidth="1"/>
    <col min="16" max="17" width="14.7109375" style="2" customWidth="1"/>
    <col min="18" max="18" width="16.7109375" style="2" customWidth="1"/>
    <col min="19" max="19" width="20.7109375" style="2" customWidth="1"/>
    <col min="20" max="20" width="28.7109375" style="2" customWidth="1"/>
    <col min="21" max="21" width="32.7109375" style="2" customWidth="1"/>
    <col min="22" max="16384" width="11.42578125" style="2"/>
  </cols>
  <sheetData>
    <row r="1" spans="1:21" ht="36" customHeight="1" x14ac:dyDescent="0.25">
      <c r="A1" s="3" t="s">
        <v>233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ht="30" customHeight="1" x14ac:dyDescent="0.25">
      <c r="A2" s="4" t="s">
        <v>234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5" spans="1:21" ht="32.1" customHeight="1" x14ac:dyDescent="0.25">
      <c r="A5" s="5" t="s">
        <v>235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1" ht="8.1" customHeight="1" x14ac:dyDescent="0.25"/>
    <row r="7" spans="1:21" ht="36" customHeight="1" x14ac:dyDescent="0.25">
      <c r="A7" s="19" t="s">
        <v>236</v>
      </c>
      <c r="B7" s="8" t="s">
        <v>237</v>
      </c>
      <c r="C7" s="6" t="s">
        <v>238</v>
      </c>
      <c r="D7" s="6" t="s">
        <v>239</v>
      </c>
      <c r="E7" s="6" t="s">
        <v>240</v>
      </c>
      <c r="F7" s="6" t="s">
        <v>241</v>
      </c>
      <c r="G7" s="6" t="s">
        <v>242</v>
      </c>
      <c r="H7" s="6" t="s">
        <v>243</v>
      </c>
      <c r="I7" s="6" t="s">
        <v>244</v>
      </c>
      <c r="J7" s="6" t="s">
        <v>245</v>
      </c>
      <c r="K7" s="7" t="s">
        <v>246</v>
      </c>
      <c r="L7" s="6" t="s">
        <v>247</v>
      </c>
      <c r="M7" s="6" t="s">
        <v>248</v>
      </c>
      <c r="N7" s="7" t="s">
        <v>249</v>
      </c>
      <c r="O7" s="7" t="s">
        <v>250</v>
      </c>
      <c r="P7" s="7" t="s">
        <v>251</v>
      </c>
      <c r="Q7" s="7" t="s">
        <v>252</v>
      </c>
      <c r="R7" s="22" t="s">
        <v>253</v>
      </c>
      <c r="S7" s="6" t="s">
        <v>132</v>
      </c>
      <c r="T7" s="6" t="s">
        <v>201</v>
      </c>
      <c r="U7" s="9" t="s">
        <v>133</v>
      </c>
    </row>
    <row r="8" spans="1:21" x14ac:dyDescent="0.25">
      <c r="A8" s="21"/>
      <c r="B8" s="16"/>
      <c r="C8" s="14"/>
      <c r="D8" s="14"/>
      <c r="E8" s="14"/>
      <c r="F8" s="14"/>
      <c r="G8" s="14"/>
      <c r="H8" s="14"/>
      <c r="I8" s="14"/>
      <c r="J8" s="14"/>
      <c r="K8" s="15"/>
      <c r="L8" s="14"/>
      <c r="M8" s="14"/>
      <c r="N8" s="15"/>
      <c r="O8" s="15"/>
      <c r="P8" s="15"/>
      <c r="Q8" s="15"/>
      <c r="R8" s="23" t="str">
        <f>IF(OR(N8="",O8=""),"",IFERROR(O8/N8,0))</f>
        <v/>
      </c>
      <c r="S8" s="14"/>
      <c r="T8" s="14"/>
      <c r="U8" s="17"/>
    </row>
  </sheetData>
  <mergeCells count="3">
    <mergeCell ref="A1:U1"/>
    <mergeCell ref="A2:U2"/>
    <mergeCell ref="A5:U5"/>
  </mergeCells>
  <dataValidations count="6">
    <dataValidation type="list" allowBlank="1" showInputMessage="1" showErrorMessage="1" errorTitle="Valor no permitido" error="Selecciona un valor de la lista." sqref="L8" xr:uid="{4EF53529-EB9C-443B-AAE2-64E1C5C04DD3}">
      <formula1>lstProductos</formula1>
    </dataValidation>
    <dataValidation type="list" allowBlank="1" showInputMessage="1" showErrorMessage="1" errorTitle="Valor no permitido" error="Selecciona un valor de la lista." sqref="H8" xr:uid="{1A019075-8D01-42A6-AD49-2AA2F105B3D0}">
      <formula1>lstProductos</formula1>
    </dataValidation>
    <dataValidation type="list" allowBlank="1" showInputMessage="1" showErrorMessage="1" errorTitle="Valor no permitido" error="Selecciona un valor de la lista." sqref="G8" xr:uid="{0E0AEC8A-26C9-4780-9B08-174C4582FFBB}">
      <formula1>lstEstadosCalidad</formula1>
    </dataValidation>
    <dataValidation type="list" allowBlank="1" showInputMessage="1" showErrorMessage="1" errorTitle="Valor no permitido" error="Selecciona un valor de la lista." sqref="M8" xr:uid="{8C3F6F1F-E4B8-46D3-AA03-E6D7D694B5A7}">
      <formula1>lstUnidades</formula1>
    </dataValidation>
    <dataValidation type="list" allowBlank="1" showInputMessage="1" showErrorMessage="1" errorTitle="Valor no permitido" error="Selecciona un valor de la lista." sqref="F8" xr:uid="{A24AF15C-33C2-4394-964F-E1502E48C547}">
      <formula1>lstEstadosOperacion</formula1>
    </dataValidation>
    <dataValidation type="list" allowBlank="1" showInputMessage="1" showErrorMessage="1" errorTitle="Valor no permitido" error="Selecciona un valor de la lista." sqref="J8" xr:uid="{763B03E9-6774-481A-97B0-AFC868F27F13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06AAC-84F8-4832-9CFE-A6058CF70392}">
  <sheetPr codeName="Hoja5">
    <tabColor rgb="FFC0392B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19.7109375" style="2" customWidth="1"/>
    <col min="3" max="3" width="21.7109375" style="2" customWidth="1"/>
    <col min="4" max="5" width="19.7109375" style="2" customWidth="1"/>
    <col min="6" max="6" width="16.7109375" style="2" customWidth="1"/>
    <col min="7" max="7" width="18.7109375" style="2" customWidth="1"/>
    <col min="8" max="8" width="22.7109375" style="2" customWidth="1"/>
    <col min="9" max="9" width="15.7109375" style="2" customWidth="1"/>
    <col min="10" max="10" width="19.7109375" style="2" customWidth="1"/>
    <col min="11" max="11" width="13.7109375" style="2" customWidth="1"/>
    <col min="12" max="12" width="18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" t="s">
        <v>254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30" customHeight="1" x14ac:dyDescent="0.25">
      <c r="A2" s="4" t="s">
        <v>255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5" spans="1:17" ht="32.1" customHeight="1" x14ac:dyDescent="0.25">
      <c r="A5" s="5" t="s">
        <v>256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8.1" customHeight="1" x14ac:dyDescent="0.25"/>
    <row r="7" spans="1:17" ht="36" customHeight="1" x14ac:dyDescent="0.25">
      <c r="A7" s="19" t="s">
        <v>257</v>
      </c>
      <c r="B7" s="8" t="s">
        <v>258</v>
      </c>
      <c r="C7" s="6" t="s">
        <v>259</v>
      </c>
      <c r="D7" s="6" t="s">
        <v>147</v>
      </c>
      <c r="E7" s="6" t="s">
        <v>115</v>
      </c>
      <c r="F7" s="6" t="s">
        <v>191</v>
      </c>
      <c r="G7" s="8" t="s">
        <v>192</v>
      </c>
      <c r="H7" s="6" t="s">
        <v>211</v>
      </c>
      <c r="I7" s="7" t="s">
        <v>210</v>
      </c>
      <c r="J7" s="7" t="s">
        <v>260</v>
      </c>
      <c r="K7" s="6" t="s">
        <v>23</v>
      </c>
      <c r="L7" s="6" t="s">
        <v>261</v>
      </c>
      <c r="M7" s="6" t="s">
        <v>232</v>
      </c>
      <c r="N7" s="6" t="s">
        <v>132</v>
      </c>
      <c r="O7" s="6" t="s">
        <v>201</v>
      </c>
      <c r="P7" s="6" t="s">
        <v>180</v>
      </c>
      <c r="Q7" s="9" t="s">
        <v>133</v>
      </c>
    </row>
    <row r="8" spans="1:17" x14ac:dyDescent="0.25">
      <c r="A8" s="21"/>
      <c r="B8" s="16"/>
      <c r="C8" s="14"/>
      <c r="D8" s="14"/>
      <c r="E8" s="14"/>
      <c r="F8" s="14"/>
      <c r="G8" s="16"/>
      <c r="H8" s="14"/>
      <c r="I8" s="15"/>
      <c r="J8" s="15"/>
      <c r="K8" s="14"/>
      <c r="L8" s="14"/>
      <c r="M8" s="14"/>
      <c r="N8" s="14"/>
      <c r="O8" s="14"/>
      <c r="P8" s="14"/>
      <c r="Q8" s="17"/>
    </row>
  </sheetData>
  <mergeCells count="3">
    <mergeCell ref="A1:Q1"/>
    <mergeCell ref="A2:Q2"/>
    <mergeCell ref="A5:Q5"/>
  </mergeCells>
  <dataValidations count="7">
    <dataValidation type="list" allowBlank="1" showInputMessage="1" showErrorMessage="1" errorTitle="Valor no permitido" error="Selecciona un valor de la lista." sqref="L8" xr:uid="{408A035B-54E2-40B8-BE96-BD31C8C93101}">
      <formula1>lstDisposiciones</formula1>
    </dataValidation>
    <dataValidation type="list" allowBlank="1" showInputMessage="1" showErrorMessage="1" errorTitle="Valor no permitido" error="Selecciona un valor de la lista." sqref="D8" xr:uid="{FCBBFF87-2A1F-49B0-8037-60E53D0BF154}">
      <formula1>lstUbicaciones</formula1>
    </dataValidation>
    <dataValidation type="list" allowBlank="1" showInputMessage="1" showErrorMessage="1" errorTitle="Valor no permitido" error="Selecciona un valor de la lista." sqref="C8" xr:uid="{BE70C572-DA2C-4677-B08B-DA75E7665692}">
      <formula1>lstTiposCalidadMerma</formula1>
    </dataValidation>
    <dataValidation type="list" allowBlank="1" showInputMessage="1" showErrorMessage="1" errorTitle="Valor no permitido" error="Selecciona un valor de la lista." sqref="P8" xr:uid="{9BB8EB29-7820-47B9-A125-04C4BD57C6E7}">
      <formula1>lstEstadosOperacion</formula1>
    </dataValidation>
    <dataValidation type="list" allowBlank="1" showInputMessage="1" showErrorMessage="1" errorTitle="Valor no permitido" error="Selecciona un valor de la lista." sqref="K8" xr:uid="{244313B5-2F45-47A2-93B2-36CFB3C1EEF6}">
      <formula1>lstUnidades</formula1>
    </dataValidation>
    <dataValidation type="list" allowBlank="1" showInputMessage="1" showErrorMessage="1" errorTitle="Valor no permitido" error="Selecciona un valor de la lista." sqref="E8" xr:uid="{1AF4F768-0F54-493E-8C13-F9B296FFF0CD}">
      <formula1>lstProductos</formula1>
    </dataValidation>
    <dataValidation type="list" allowBlank="1" showInputMessage="1" showErrorMessage="1" errorTitle="Valor no permitido" error="Selecciona un valor de la lista." sqref="H8" xr:uid="{86DC7EDA-5253-4A59-B5E9-38724EA60C7A}">
      <formula1>lstCondiciones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349AC-6124-46EE-859E-BD357F2533B7}">
  <sheetPr codeName="Hoja4">
    <tabColor rgb="FFC0392B"/>
    <pageSetUpPr fitToPage="1"/>
  </sheetPr>
  <dimension ref="A1:N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5.7109375" style="18" customWidth="1"/>
    <col min="2" max="2" width="19.7109375" style="2" customWidth="1"/>
    <col min="3" max="3" width="18.7109375" style="2" customWidth="1"/>
    <col min="4" max="4" width="23.7109375" style="2" customWidth="1"/>
    <col min="5" max="6" width="20.7109375" style="2" customWidth="1"/>
    <col min="7" max="7" width="17.7109375" style="2" customWidth="1"/>
    <col min="8" max="8" width="18.7109375" style="2" customWidth="1"/>
    <col min="9" max="9" width="15.7109375" style="2" customWidth="1"/>
    <col min="10" max="11" width="20.7109375" style="2" customWidth="1"/>
    <col min="12" max="12" width="18.7109375" style="2" customWidth="1"/>
    <col min="13" max="13" width="28.7109375" style="2" customWidth="1"/>
    <col min="14" max="14" width="32.7109375" style="2" customWidth="1"/>
    <col min="15" max="16384" width="11.42578125" style="2"/>
  </cols>
  <sheetData>
    <row r="1" spans="1:14" ht="36" customHeight="1" x14ac:dyDescent="0.25">
      <c r="A1" s="3" t="s">
        <v>262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30" customHeight="1" x14ac:dyDescent="0.25">
      <c r="A2" s="4" t="s">
        <v>263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5" spans="1:14" ht="32.1" customHeight="1" x14ac:dyDescent="0.25">
      <c r="A5" s="5" t="s">
        <v>264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ht="8.1" customHeight="1" x14ac:dyDescent="0.25"/>
    <row r="7" spans="1:14" ht="36" customHeight="1" x14ac:dyDescent="0.25">
      <c r="A7" s="19" t="s">
        <v>265</v>
      </c>
      <c r="B7" s="8" t="s">
        <v>228</v>
      </c>
      <c r="C7" s="6" t="s">
        <v>266</v>
      </c>
      <c r="D7" s="6" t="s">
        <v>267</v>
      </c>
      <c r="E7" s="6" t="s">
        <v>177</v>
      </c>
      <c r="F7" s="6" t="s">
        <v>178</v>
      </c>
      <c r="G7" s="7" t="s">
        <v>268</v>
      </c>
      <c r="H7" s="7" t="s">
        <v>196</v>
      </c>
      <c r="I7" s="7" t="s">
        <v>221</v>
      </c>
      <c r="J7" s="6" t="s">
        <v>199</v>
      </c>
      <c r="K7" s="6" t="s">
        <v>200</v>
      </c>
      <c r="L7" s="6" t="s">
        <v>180</v>
      </c>
      <c r="M7" s="6" t="s">
        <v>201</v>
      </c>
      <c r="N7" s="9" t="s">
        <v>133</v>
      </c>
    </row>
    <row r="8" spans="1:14" x14ac:dyDescent="0.25">
      <c r="A8" s="21"/>
      <c r="B8" s="16"/>
      <c r="C8" s="14"/>
      <c r="D8" s="14"/>
      <c r="E8" s="14"/>
      <c r="F8" s="14"/>
      <c r="G8" s="15"/>
      <c r="H8" s="15"/>
      <c r="I8" s="24" t="str">
        <f>IF(OR(G8="",H8=""),"",H8-G8)</f>
        <v/>
      </c>
      <c r="J8" s="14"/>
      <c r="K8" s="14"/>
      <c r="L8" s="14"/>
      <c r="M8" s="14"/>
      <c r="N8" s="17"/>
    </row>
  </sheetData>
  <mergeCells count="3">
    <mergeCell ref="A1:N1"/>
    <mergeCell ref="A2:N2"/>
    <mergeCell ref="A5:N5"/>
  </mergeCells>
  <dataValidations count="4">
    <dataValidation type="list" allowBlank="1" showInputMessage="1" showErrorMessage="1" errorTitle="Valor no permitido" error="Selecciona un valor de la lista." sqref="C8" xr:uid="{39A4F204-BDA2-4960-850D-B211E828695C}">
      <formula1>lstTiposRetornable</formula1>
    </dataValidation>
    <dataValidation type="list" allowBlank="1" showInputMessage="1" showErrorMessage="1" errorTitle="Valor no permitido" error="Selecciona un valor de la lista." sqref="L8" xr:uid="{F691732D-F99F-4FA4-942B-85042E061BE4}">
      <formula1>lstEstadosOperacion</formula1>
    </dataValidation>
    <dataValidation type="list" allowBlank="1" showInputMessage="1" showErrorMessage="1" errorTitle="Valor no permitido" error="Selecciona un valor de la lista." sqref="E8" xr:uid="{4AE61FE9-7BEE-4A76-9252-5698EB08FB9A}">
      <formula1>lstUbicaciones</formula1>
    </dataValidation>
    <dataValidation type="list" allowBlank="1" showInputMessage="1" showErrorMessage="1" errorTitle="Valor no permitido" error="Selecciona un valor de la lista." sqref="F8" xr:uid="{387604C7-4923-4F21-8501-DEC21F2BB107}">
      <formula1>lstUbicaciones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571E-AE18-4DB5-A987-7A1E48500B9D}">
  <sheetPr codeName="Hoja3">
    <tabColor rgb="FF1F6AA6"/>
    <pageSetUpPr fitToPage="1"/>
  </sheetPr>
  <dimension ref="A1:S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8" customWidth="1"/>
    <col min="2" max="2" width="22.7109375" style="2" customWidth="1"/>
    <col min="3" max="5" width="18.7109375" style="2" customWidth="1"/>
    <col min="6" max="6" width="25.7109375" style="2" customWidth="1"/>
    <col min="7" max="7" width="24.7109375" style="2" customWidth="1"/>
    <col min="8" max="8" width="20.7109375" style="2" customWidth="1"/>
    <col min="9" max="9" width="22.7109375" style="2" customWidth="1"/>
    <col min="10" max="10" width="18.7109375" style="2" customWidth="1"/>
    <col min="11" max="11" width="25.7109375" style="2" customWidth="1"/>
    <col min="12" max="12" width="22.7109375" style="2" customWidth="1"/>
    <col min="13" max="13" width="18.7109375" style="2" customWidth="1"/>
    <col min="14" max="15" width="25.7109375" style="2" customWidth="1"/>
    <col min="16" max="16" width="30.7109375" style="2" customWidth="1"/>
    <col min="17" max="17" width="28.7109375" style="2" customWidth="1"/>
    <col min="18" max="18" width="21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" t="s">
        <v>269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30" customHeight="1" x14ac:dyDescent="0.25">
      <c r="A2" s="4" t="s">
        <v>270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5" spans="1:19" ht="32.1" customHeight="1" x14ac:dyDescent="0.25">
      <c r="A5" s="5" t="s">
        <v>271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8.1" customHeight="1" x14ac:dyDescent="0.25"/>
    <row r="7" spans="1:19" ht="36" customHeight="1" x14ac:dyDescent="0.25">
      <c r="A7" s="19" t="s">
        <v>272</v>
      </c>
      <c r="B7" s="6" t="s">
        <v>148</v>
      </c>
      <c r="C7" s="6" t="s">
        <v>149</v>
      </c>
      <c r="D7" s="6" t="s">
        <v>150</v>
      </c>
      <c r="E7" s="6" t="s">
        <v>151</v>
      </c>
      <c r="F7" s="6" t="s">
        <v>273</v>
      </c>
      <c r="G7" s="6" t="s">
        <v>274</v>
      </c>
      <c r="H7" s="6" t="s">
        <v>275</v>
      </c>
      <c r="I7" s="6" t="s">
        <v>276</v>
      </c>
      <c r="J7" s="6" t="s">
        <v>277</v>
      </c>
      <c r="K7" s="6" t="s">
        <v>278</v>
      </c>
      <c r="L7" s="6" t="s">
        <v>279</v>
      </c>
      <c r="M7" s="6" t="s">
        <v>280</v>
      </c>
      <c r="N7" s="6" t="s">
        <v>281</v>
      </c>
      <c r="O7" s="6" t="s">
        <v>282</v>
      </c>
      <c r="P7" s="6" t="s">
        <v>283</v>
      </c>
      <c r="Q7" s="6" t="s">
        <v>201</v>
      </c>
      <c r="R7" s="6" t="s">
        <v>130</v>
      </c>
      <c r="S7" s="9" t="s">
        <v>133</v>
      </c>
    </row>
    <row r="8" spans="1:19" x14ac:dyDescent="0.25">
      <c r="A8" s="2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7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B8" xr:uid="{33EC7383-B8C8-4DA5-8BE7-97072106BD71}">
      <formula1>lstSedes</formula1>
    </dataValidation>
    <dataValidation type="list" allowBlank="1" showInputMessage="1" showErrorMessage="1" errorTitle="Valor no permitido" error="Selecciona un valor de la lista." sqref="R8" xr:uid="{416F1900-D32F-4AA2-893E-3FA1047B4D45}">
      <formula1>lstEstadosRegistro</formula1>
    </dataValidation>
    <dataValidation type="list" allowBlank="1" showInputMessage="1" showErrorMessage="1" errorTitle="Valor no permitido" error="Selecciona un valor de la lista." sqref="F8" xr:uid="{C874BB1F-939C-4D45-87B0-47F8AD1D47BA}">
      <formula1>lstPerfilesEstacion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7D560-E241-4E6C-B51D-12B63A2B5478}">
  <sheetPr codeName="Hoja2">
    <tabColor rgb="FF27845E"/>
  </sheetPr>
  <dimension ref="A1:L23"/>
  <sheetViews>
    <sheetView showGridLines="0" workbookViewId="0">
      <selection sqref="A1:L1"/>
    </sheetView>
  </sheetViews>
  <sheetFormatPr baseColWidth="10" defaultRowHeight="13.5" x14ac:dyDescent="0.25"/>
  <cols>
    <col min="1" max="1" width="24.7109375" style="2" customWidth="1"/>
    <col min="2" max="2" width="14.7109375" style="2" customWidth="1"/>
    <col min="3" max="12" width="12.7109375" style="2" customWidth="1"/>
    <col min="13" max="16384" width="11.42578125" style="2"/>
  </cols>
  <sheetData>
    <row r="1" spans="1:12" ht="36" customHeight="1" x14ac:dyDescent="0.25">
      <c r="A1" s="3" t="s">
        <v>284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30" customHeight="1" x14ac:dyDescent="0.25">
      <c r="A2" s="4" t="s">
        <v>285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5" spans="1:12" ht="32.1" customHeight="1" x14ac:dyDescent="0.25">
      <c r="A5" s="5" t="s">
        <v>286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7" spans="1:12" x14ac:dyDescent="0.25">
      <c r="A7" s="25" t="s">
        <v>287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</row>
    <row r="9" spans="1:12" x14ac:dyDescent="0.25">
      <c r="A9" s="26" t="s">
        <v>288</v>
      </c>
      <c r="B9" s="27"/>
      <c r="D9" s="26" t="s">
        <v>289</v>
      </c>
      <c r="E9" s="27"/>
      <c r="G9" s="26" t="s">
        <v>290</v>
      </c>
      <c r="H9" s="27"/>
      <c r="J9" s="26" t="s">
        <v>291</v>
      </c>
      <c r="K9" s="27"/>
    </row>
    <row r="10" spans="1:12" x14ac:dyDescent="0.25">
      <c r="A10" s="28"/>
      <c r="B10" s="29"/>
      <c r="D10" s="32"/>
      <c r="E10" s="33"/>
      <c r="G10" s="36"/>
      <c r="H10" s="37"/>
      <c r="J10" s="40"/>
      <c r="K10" s="41"/>
    </row>
    <row r="11" spans="1:12" x14ac:dyDescent="0.25">
      <c r="A11" s="30"/>
      <c r="B11" s="31"/>
      <c r="D11" s="34"/>
      <c r="E11" s="35"/>
      <c r="G11" s="38"/>
      <c r="H11" s="39"/>
      <c r="J11" s="42"/>
      <c r="K11" s="43"/>
    </row>
    <row r="13" spans="1:12" x14ac:dyDescent="0.25">
      <c r="A13" s="26" t="s">
        <v>292</v>
      </c>
      <c r="B13" s="27"/>
      <c r="D13" s="26" t="s">
        <v>293</v>
      </c>
      <c r="E13" s="27"/>
      <c r="G13" s="26" t="s">
        <v>294</v>
      </c>
      <c r="H13" s="27"/>
      <c r="J13" s="26" t="s">
        <v>295</v>
      </c>
      <c r="K13" s="27"/>
    </row>
    <row r="14" spans="1:12" x14ac:dyDescent="0.25">
      <c r="A14" s="40"/>
      <c r="B14" s="41"/>
      <c r="D14" s="36"/>
      <c r="E14" s="37"/>
      <c r="G14" s="28"/>
      <c r="H14" s="29"/>
      <c r="J14" s="44"/>
      <c r="K14" s="45"/>
    </row>
    <row r="15" spans="1:12" x14ac:dyDescent="0.25">
      <c r="A15" s="42"/>
      <c r="B15" s="43"/>
      <c r="D15" s="38"/>
      <c r="E15" s="39"/>
      <c r="G15" s="30"/>
      <c r="H15" s="31"/>
      <c r="J15" s="46"/>
      <c r="K15" s="47"/>
    </row>
    <row r="18" spans="1:2" x14ac:dyDescent="0.25">
      <c r="A18" s="48"/>
      <c r="B18" s="48"/>
    </row>
    <row r="19" spans="1:2" x14ac:dyDescent="0.25">
      <c r="A19" s="49"/>
      <c r="B19" s="49">
        <f>COUNTIFS('03_SOLICITUDES'!$A$8:$A$200,"&lt;&gt;",'03_SOLICITUDES'!$G$8:$G$200,"&lt;&gt;CERRADA",'03_SOLICITUDES'!$G$8:$G$200,"&lt;&gt;CANCELADA")</f>
        <v>0</v>
      </c>
    </row>
    <row r="20" spans="1:2" x14ac:dyDescent="0.25">
      <c r="A20" s="49"/>
      <c r="B20" s="49">
        <f>COUNTIF('04_REMISIONES'!$F$8:$F$200,"EN TRÁNSITO")</f>
        <v>0</v>
      </c>
    </row>
    <row r="21" spans="1:2" x14ac:dyDescent="0.25">
      <c r="A21" s="49"/>
      <c r="B21" s="49">
        <f>COUNTIFS('04_REMISIONES'!$A$8:$A$200,"&lt;&gt;",'04_REMISIONES'!$R$8:$R$200,"&lt;&gt;0")</f>
        <v>0</v>
      </c>
    </row>
    <row r="22" spans="1:2" x14ac:dyDescent="0.25">
      <c r="A22" s="49"/>
      <c r="B22" s="49">
        <f>COUNTIFS('06_CONTEOS'!$A$8:$A$200,"&lt;&gt;",'06_CONTEOS'!$M$8:$M$200,"&lt;&gt;0")</f>
        <v>0</v>
      </c>
    </row>
    <row r="23" spans="1:2" x14ac:dyDescent="0.25">
      <c r="A23" s="49"/>
      <c r="B23" s="49">
        <f>COUNTIFS('09_CALIDAD_MERMAS'!$A$8:$A$200,"&lt;&gt;",'09_CALIDAD_MERMAS'!$P$8:$P$200,"&lt;&gt;CERRADA",'09_CALIDAD_MERMAS'!$P$8:$P$200,"&lt;&gt;CANCELADA")</f>
        <v>0</v>
      </c>
    </row>
  </sheetData>
  <mergeCells count="12">
    <mergeCell ref="A13:B15"/>
    <mergeCell ref="D13:E15"/>
    <mergeCell ref="G13:H15"/>
    <mergeCell ref="J13:K15"/>
    <mergeCell ref="A1:L1"/>
    <mergeCell ref="A2:L2"/>
    <mergeCell ref="A5:L5"/>
    <mergeCell ref="A7:L7"/>
    <mergeCell ref="A9:B11"/>
    <mergeCell ref="D9:E11"/>
    <mergeCell ref="G9:H11"/>
    <mergeCell ref="J9:K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20</vt:i4>
      </vt:variant>
    </vt:vector>
  </HeadingPairs>
  <TitlesOfParts>
    <vt:vector size="33" baseType="lpstr">
      <vt:lpstr>00_INICIO</vt:lpstr>
      <vt:lpstr>01_CATALOGOS</vt:lpstr>
      <vt:lpstr>02_UBICACIONES</vt:lpstr>
      <vt:lpstr>03_SOLICITUDES</vt:lpstr>
      <vt:lpstr>04_REMISIONES</vt:lpstr>
      <vt:lpstr>05_RECEPCIONES</vt:lpstr>
      <vt:lpstr>06_CONTEOS</vt:lpstr>
      <vt:lpstr>07_MOVIMIENTOS</vt:lpstr>
      <vt:lpstr>08_PRODUCCION</vt:lpstr>
      <vt:lpstr>09_CALIDAD_MERMAS</vt:lpstr>
      <vt:lpstr>10_RETORNABLES</vt:lpstr>
      <vt:lpstr>11_ESTACIONES</vt:lpstr>
      <vt:lpstr>12_PANEL</vt:lpstr>
      <vt:lpstr>lstCondiciones</vt:lpstr>
      <vt:lpstr>lstDecisiones</vt:lpstr>
      <vt:lpstr>lstDisposiciones</vt:lpstr>
      <vt:lpstr>lstEstadosCalidad</vt:lpstr>
      <vt:lpstr>lstEstadosOperacion</vt:lpstr>
      <vt:lpstr>lstEstadosRegistro</vt:lpstr>
      <vt:lpstr>lstEstadosRemision</vt:lpstr>
      <vt:lpstr>lstEstadosSolicitud</vt:lpstr>
      <vt:lpstr>lstMetodosConteo</vt:lpstr>
      <vt:lpstr>lstMetodosRecepcion</vt:lpstr>
      <vt:lpstr>lstPerfilesEstacion</vt:lpstr>
      <vt:lpstr>lstPrioridades</vt:lpstr>
      <vt:lpstr>lstProductos</vt:lpstr>
      <vt:lpstr>lstSedes</vt:lpstr>
      <vt:lpstr>lstSiNo</vt:lpstr>
      <vt:lpstr>lstTiposCalidadMerma</vt:lpstr>
      <vt:lpstr>lstTiposMovimiento</vt:lpstr>
      <vt:lpstr>lstTiposRetornable</vt:lpstr>
      <vt:lpstr>lstUbicaciones</vt:lpstr>
      <vt:lpstr>lstUnidades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Ibarra Ariza</dc:creator>
  <cp:lastModifiedBy>Carlos Ibarra Ariza</cp:lastModifiedBy>
  <dcterms:created xsi:type="dcterms:W3CDTF">2026-07-30T01:53:24Z</dcterms:created>
  <dcterms:modified xsi:type="dcterms:W3CDTF">2026-07-30T01:53:37Z</dcterms:modified>
</cp:coreProperties>
</file>