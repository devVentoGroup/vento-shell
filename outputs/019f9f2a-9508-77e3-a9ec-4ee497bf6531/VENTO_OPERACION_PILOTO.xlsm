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evVentoGroup\vento-shell\outputs\019f9f2a-9508-77e3-a9ec-4ee497bf6531\"/>
    </mc:Choice>
  </mc:AlternateContent>
  <xr:revisionPtr revIDLastSave="0" documentId="13_ncr:1_{9A3C3E02-3F47-463D-BFD7-474CC4915B33}" xr6:coauthVersionLast="47" xr6:coauthVersionMax="47" xr10:uidLastSave="{00000000-0000-0000-0000-000000000000}"/>
  <bookViews>
    <workbookView xWindow="-120" yWindow="-120" windowWidth="29040" windowHeight="15720" firstSheet="1" activeTab="1" xr2:uid="{51447D05-4905-4938-A82F-79CFE612C553}"/>
  </bookViews>
  <sheets>
    <sheet name="99_LISTAS" sheetId="2" state="veryHidden" r:id="rId1"/>
    <sheet name="00_INICIO" sheetId="1" r:id="rId2"/>
    <sheet name="01_CATALOGOS" sheetId="3" r:id="rId3"/>
    <sheet name="02_UBICACIONES" sheetId="4" r:id="rId4"/>
    <sheet name="03_SOLICITUDES" sheetId="5" r:id="rId5"/>
    <sheet name="04_REMISIONES" sheetId="6" r:id="rId6"/>
    <sheet name="05_RECEPCIONES" sheetId="7" r:id="rId7"/>
    <sheet name="06_CONTEOS" sheetId="8" r:id="rId8"/>
    <sheet name="07_MOVIMIENTOS" sheetId="9" r:id="rId9"/>
    <sheet name="08_PRODUCCION" sheetId="10" r:id="rId10"/>
    <sheet name="09_CALIDAD_MERMAS" sheetId="11" r:id="rId11"/>
    <sheet name="10_RETORNABLES" sheetId="12" r:id="rId12"/>
    <sheet name="11_ESTACIONES" sheetId="13" r:id="rId13"/>
    <sheet name="12_PANEL" sheetId="14" r:id="rId14"/>
  </sheets>
  <definedNames>
    <definedName name="lstCondiciones">'99_LISTAS'!$I$2:$I$8</definedName>
    <definedName name="lstDecisiones">'99_LISTAS'!$J$2:$J$7</definedName>
    <definedName name="lstDisposiciones">'99_LISTAS'!$L$2:$L$8</definedName>
    <definedName name="lstEstadosCalidad">'99_LISTAS'!$P$2:$P$6</definedName>
    <definedName name="lstEstadosOperacion">'99_LISTAS'!$H$2:$H$7</definedName>
    <definedName name="lstEstadosRegistro">'99_LISTAS'!$N$2:$N$6</definedName>
    <definedName name="lstEstadosRemision">'99_LISTAS'!$D$2:$D$9</definedName>
    <definedName name="lstEstadosSolicitud">'99_LISTAS'!$B$2:$B$7</definedName>
    <definedName name="lstMetodosConteo">'99_LISTAS'!$F$2:$F$6</definedName>
    <definedName name="lstMetodosRecepcion">'99_LISTAS'!$R$2:$R$6</definedName>
    <definedName name="lstPerfilesEstacion">'99_LISTAS'!$M$2:$M$8</definedName>
    <definedName name="lstPrioridades">'99_LISTAS'!$C$2:$C$4</definedName>
    <definedName name="lstProductos">tblCatalogos[producto_id]</definedName>
    <definedName name="lstSedes">'99_LISTAS'!$A$2:$A$8</definedName>
    <definedName name="lstSiNo">'99_LISTAS'!$Q$2:$Q$3</definedName>
    <definedName name="lstTiposCalidadMerma">'99_LISTAS'!$K$2:$K$8</definedName>
    <definedName name="lstTiposMovimiento">'99_LISTAS'!$G$2:$G$8</definedName>
    <definedName name="lstTiposRetornable">'99_LISTAS'!$O$2:$O$8</definedName>
    <definedName name="lstUbicaciones">tblUbicaciones[ubicacion_id]</definedName>
    <definedName name="lstUnidades">'99_LISTAS'!$E$2:$E$10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10" i="14" l="1"/>
  <c r="Q8" i="6"/>
  <c r="S8" i="6" s="1"/>
  <c r="B23" i="14"/>
  <c r="B22" i="14"/>
  <c r="B21" i="14"/>
  <c r="B20" i="14"/>
  <c r="B19" i="14"/>
  <c r="G14" i="14"/>
  <c r="D14" i="14"/>
  <c r="A14" i="14"/>
  <c r="J10" i="14"/>
  <c r="G10" i="14"/>
  <c r="D10" i="14"/>
  <c r="I8" i="12"/>
  <c r="R8" i="10"/>
  <c r="J14" i="14" s="1"/>
  <c r="M8" i="8"/>
  <c r="M8" i="5"/>
  <c r="R8" i="6" l="1"/>
</calcChain>
</file>

<file path=xl/sharedStrings.xml><?xml version="1.0" encoding="utf-8"?>
<sst xmlns="http://schemas.openxmlformats.org/spreadsheetml/2006/main" count="9136" uniqueCount="3945">
  <si>
    <t>Sedes</t>
  </si>
  <si>
    <t>Centro de Producción</t>
  </si>
  <si>
    <t>Vento Café</t>
  </si>
  <si>
    <t>Saudo</t>
  </si>
  <si>
    <t>Molka</t>
  </si>
  <si>
    <t>EstadosSolicitud</t>
  </si>
  <si>
    <t>BORRADOR</t>
  </si>
  <si>
    <t>SOLICITADA</t>
  </si>
  <si>
    <t>APROBADA</t>
  </si>
  <si>
    <t>EN PREPARACIÓN</t>
  </si>
  <si>
    <t>CERRADA</t>
  </si>
  <si>
    <t>CANCELADA</t>
  </si>
  <si>
    <t>Prioridades</t>
  </si>
  <si>
    <t>NORMAL</t>
  </si>
  <si>
    <t>ALTA</t>
  </si>
  <si>
    <t>URGENTE</t>
  </si>
  <si>
    <t>EstadosRemision</t>
  </si>
  <si>
    <t>PREPARACIÓN</t>
  </si>
  <si>
    <t>CARGADA</t>
  </si>
  <si>
    <t>DESPACHADA</t>
  </si>
  <si>
    <t>EN TRÁNSITO</t>
  </si>
  <si>
    <t>RECIBIDA</t>
  </si>
  <si>
    <t>Unidades</t>
  </si>
  <si>
    <t>unidad</t>
  </si>
  <si>
    <t>kg</t>
  </si>
  <si>
    <t>g</t>
  </si>
  <si>
    <t>L</t>
  </si>
  <si>
    <t>mL</t>
  </si>
  <si>
    <t>caja</t>
  </si>
  <si>
    <t>bolsa</t>
  </si>
  <si>
    <t>paquete</t>
  </si>
  <si>
    <t>bandeja</t>
  </si>
  <si>
    <t>MetodosConteo</t>
  </si>
  <si>
    <t>CONTEO CIEGO</t>
  </si>
  <si>
    <t>CONTEO GUIADO</t>
  </si>
  <si>
    <t>RECONTEO</t>
  </si>
  <si>
    <t>CÍCLICO</t>
  </si>
  <si>
    <t>GENERAL</t>
  </si>
  <si>
    <t>TiposMovimiento</t>
  </si>
  <si>
    <t>INGRESO</t>
  </si>
  <si>
    <t>REUBICACIÓN</t>
  </si>
  <si>
    <t>CONSUMO</t>
  </si>
  <si>
    <t>TRASLADO</t>
  </si>
  <si>
    <t>SALIDA</t>
  </si>
  <si>
    <t>DEVOLUCIÓN</t>
  </si>
  <si>
    <t>AJUSTE DOCUMENTADO</t>
  </si>
  <si>
    <t>EstadosOperacion</t>
  </si>
  <si>
    <t>EN CURSO</t>
  </si>
  <si>
    <t>PENDIENTE</t>
  </si>
  <si>
    <t>POR VALIDAR</t>
  </si>
  <si>
    <t>Condiciones</t>
  </si>
  <si>
    <t>CONFORME</t>
  </si>
  <si>
    <t>DAÑADO</t>
  </si>
  <si>
    <t>VENCIDO</t>
  </si>
  <si>
    <t>PRÓXIMO A VENCER</t>
  </si>
  <si>
    <t>CUARENTENA</t>
  </si>
  <si>
    <t>FRÍO FUERA DE RANGO</t>
  </si>
  <si>
    <t>NO CONFORME</t>
  </si>
  <si>
    <t>Decisiones</t>
  </si>
  <si>
    <t>ACEPTAR</t>
  </si>
  <si>
    <t>ACEPTAR PARCIAL</t>
  </si>
  <si>
    <t>RECHAZAR</t>
  </si>
  <si>
    <t>DEVOLVER</t>
  </si>
  <si>
    <t>CORREGIR</t>
  </si>
  <si>
    <t>TiposCalidadMerma</t>
  </si>
  <si>
    <t>CONTROL DE CALIDAD</t>
  </si>
  <si>
    <t>TEMPERATURA</t>
  </si>
  <si>
    <t>VENCIMIENTO</t>
  </si>
  <si>
    <t>MERMA</t>
  </si>
  <si>
    <t>PÉRDIDA</t>
  </si>
  <si>
    <t>REPROCESO</t>
  </si>
  <si>
    <t>Disposiciones</t>
  </si>
  <si>
    <t>LIBERAR</t>
  </si>
  <si>
    <t>RETENER</t>
  </si>
  <si>
    <t>REPROCESAR</t>
  </si>
  <si>
    <t>DESECHAR</t>
  </si>
  <si>
    <t>INVESTIGAR</t>
  </si>
  <si>
    <t>PerfilesEstacion</t>
  </si>
  <si>
    <t>CENTRO DE PRODUCCIÓN</t>
  </si>
  <si>
    <t>ESCÁNER DE ALMACÉN</t>
  </si>
  <si>
    <t>RECEPCIÓN Y MEDICIÓN</t>
  </si>
  <si>
    <t>DESPACHO Y ENTREGA</t>
  </si>
  <si>
    <t>POOL MÓVIL</t>
  </si>
  <si>
    <t>PANTALLA DE OBSERVACIÓN</t>
  </si>
  <si>
    <t>HOST DE PERIFÉRICOS</t>
  </si>
  <si>
    <t>EstadosRegistro</t>
  </si>
  <si>
    <t>PENDIENTE DE DEFINIR</t>
  </si>
  <si>
    <t>ACTIVO</t>
  </si>
  <si>
    <t>INACTIVO</t>
  </si>
  <si>
    <t>BLOQUEADO</t>
  </si>
  <si>
    <t>TiposRetornable</t>
  </si>
  <si>
    <t>CANASTILLA</t>
  </si>
  <si>
    <t>CAJA</t>
  </si>
  <si>
    <t>CONTENEDOR</t>
  </si>
  <si>
    <t>BANDEJA</t>
  </si>
  <si>
    <t>GARRAFA</t>
  </si>
  <si>
    <t>LPN</t>
  </si>
  <si>
    <t>OTRO</t>
  </si>
  <si>
    <t>EstadosCalidad</t>
  </si>
  <si>
    <t>LIBERADO</t>
  </si>
  <si>
    <t>RETENIDO</t>
  </si>
  <si>
    <t>RECHAZADO</t>
  </si>
  <si>
    <t>CORREGIDO</t>
  </si>
  <si>
    <t>SiNo</t>
  </si>
  <si>
    <t>SÍ</t>
  </si>
  <si>
    <t>NO</t>
  </si>
  <si>
    <t>MetodosRecepcion</t>
  </si>
  <si>
    <t>CONTEO</t>
  </si>
  <si>
    <t>PESO</t>
  </si>
  <si>
    <t>VOLUMEN</t>
  </si>
  <si>
    <t>ESCANEO</t>
  </si>
  <si>
    <t>MIXTO</t>
  </si>
  <si>
    <t>Catálogo maestro del piloto</t>
  </si>
  <si>
    <t>producto_id</t>
  </si>
  <si>
    <t>nombre_producto</t>
  </si>
  <si>
    <t>categoria</t>
  </si>
  <si>
    <t>presentacion_id</t>
  </si>
  <si>
    <t>presentacion</t>
  </si>
  <si>
    <t>unidad_base</t>
  </si>
  <si>
    <t>unidad_operativa</t>
  </si>
  <si>
    <t>factor_conversion</t>
  </si>
  <si>
    <t>controla_lote</t>
  </si>
  <si>
    <t>controla_vencimiento</t>
  </si>
  <si>
    <t>controla_frio</t>
  </si>
  <si>
    <t>temperatura_min_c</t>
  </si>
  <si>
    <t>temperatura_max_c</t>
  </si>
  <si>
    <t>es_retornable</t>
  </si>
  <si>
    <t>proveedor_referencia</t>
  </si>
  <si>
    <t>estado_registro</t>
  </si>
  <si>
    <t>fecha_alta</t>
  </si>
  <si>
    <t>responsable</t>
  </si>
  <si>
    <t>observaciones</t>
  </si>
  <si>
    <t>Sedes y ubicaciones físicas</t>
  </si>
  <si>
    <t>ubicacion_id</t>
  </si>
  <si>
    <t>sede</t>
  </si>
  <si>
    <t>area</t>
  </si>
  <si>
    <t>zona</t>
  </si>
  <si>
    <t>punto</t>
  </si>
  <si>
    <t>tipo_ubicacion</t>
  </si>
  <si>
    <t>permite_inventario</t>
  </si>
  <si>
    <t>requiere_frio</t>
  </si>
  <si>
    <t>Solicitudes internas de abastecimiento</t>
  </si>
  <si>
    <t>Una fila representa una línea de producto. Un mismo solicitud_id puede repetirse en varias líneas.</t>
  </si>
  <si>
    <t>Registra lo solicitado y lo aprobado por separado; nunca sustituyas la cantidad original para ocultar cambios.</t>
  </si>
  <si>
    <t>solicitud_id</t>
  </si>
  <si>
    <t>fecha_solicitud</t>
  </si>
  <si>
    <t>solicitante</t>
  </si>
  <si>
    <t>ubicacion_origen</t>
  </si>
  <si>
    <t>ubicacion_destino</t>
  </si>
  <si>
    <t>prioridad</t>
  </si>
  <si>
    <t>estado</t>
  </si>
  <si>
    <t>cantidad_solicitada</t>
  </si>
  <si>
    <t>cantidad_aprobada</t>
  </si>
  <si>
    <t>aprobacion_pct</t>
  </si>
  <si>
    <t>fecha_necesidad</t>
  </si>
  <si>
    <t>responsable_aprobacion</t>
  </si>
  <si>
    <t>Preparación, despacho y recepción de remisiones</t>
  </si>
  <si>
    <t>La remisión documenta la operación; no reemplaza el movimiento de inventario. Conserva solicitado, aprobado, preparado, cargado, despachado y recibido.</t>
  </si>
  <si>
    <t>Cambia el estado según el hecho real y adjunta evidencia. La cantidad recibida se calcula desde la hoja de recepciones.</t>
  </si>
  <si>
    <t>remision_id</t>
  </si>
  <si>
    <t>fecha_despacho</t>
  </si>
  <si>
    <t>lote</t>
  </si>
  <si>
    <t>fecha_vencimiento</t>
  </si>
  <si>
    <t>cantidad_preparada</t>
  </si>
  <si>
    <t>cantidad_cargada</t>
  </si>
  <si>
    <t>cantidad_despachada</t>
  </si>
  <si>
    <t>cantidad_recibida</t>
  </si>
  <si>
    <t>diferencia_recepcion</t>
  </si>
  <si>
    <t>cumplimiento_pct</t>
  </si>
  <si>
    <t>custodio_salida</t>
  </si>
  <si>
    <t>custodio_recepcion</t>
  </si>
  <si>
    <t>evidencia</t>
  </si>
  <si>
    <t>Recepción física y conformidad</t>
  </si>
  <si>
    <t>Registra el hecho observado: cantidad, condición, temperatura y evidencia. La recepción no debe sobrescribir lo despachado.</t>
  </si>
  <si>
    <t>Si existe no conformidad, conserva la cantidad y registra la decisión: cuarentena, rechazo, devolución o corrección.</t>
  </si>
  <si>
    <t>recepcion_id</t>
  </si>
  <si>
    <t>fecha_recepcion</t>
  </si>
  <si>
    <t>metodo_recepcion</t>
  </si>
  <si>
    <t>cantidad_conforme</t>
  </si>
  <si>
    <t>cantidad_no_conforme</t>
  </si>
  <si>
    <t>temperatura_c</t>
  </si>
  <si>
    <t>condicion</t>
  </si>
  <si>
    <t>decision</t>
  </si>
  <si>
    <t>Sesiones de conteo físico</t>
  </si>
  <si>
    <t>El conteo es una observación con corte, método y responsable. Una diferencia no modifica inventario por sí sola.</t>
  </si>
  <si>
    <t>Investiga toda diferencia y vincula un documento de ajuste independiente solo cuando corresponda.</t>
  </si>
  <si>
    <t>sesion_conteo_id</t>
  </si>
  <si>
    <t>fecha_corte</t>
  </si>
  <si>
    <t>metodo</t>
  </si>
  <si>
    <t>cantidad_sistema_referencia</t>
  </si>
  <si>
    <t>cantidad_contada</t>
  </si>
  <si>
    <t>diferencia</t>
  </si>
  <si>
    <t>investigacion</t>
  </si>
  <si>
    <t>documento_ajuste_id</t>
  </si>
  <si>
    <t>Movimientos físicos y custodia</t>
  </si>
  <si>
    <t>Registra ingresos, reubicaciones, consumos, traslados, salidas y devoluciones con origen, destino, lote y custodia.</t>
  </si>
  <si>
    <t>Todo ajuste debe estar documentado. No utilices un movimiento para corregir silenciosamente un conteo.</t>
  </si>
  <si>
    <t>movimiento_id</t>
  </si>
  <si>
    <t>fecha_movimiento</t>
  </si>
  <si>
    <t>tipo_movimiento</t>
  </si>
  <si>
    <t>cantidad</t>
  </si>
  <si>
    <t>custodio_entrada</t>
  </si>
  <si>
    <t>documento_relacionado_id</t>
  </si>
  <si>
    <t>Producción, rendimiento y trazabilidad</t>
  </si>
  <si>
    <t>Conserva receta/version, insumos reales, lote de salida, resultado, reproceso y merma. Terminado no significa liberado.</t>
  </si>
  <si>
    <t>Registra una fila por combinación de orden e insumo/salida. Calidad decide la liberación en un estado separado.</t>
  </si>
  <si>
    <t>orden_produccion_id</t>
  </si>
  <si>
    <t>fecha_produccion</t>
  </si>
  <si>
    <t>receta_id</t>
  </si>
  <si>
    <t>version_receta</t>
  </si>
  <si>
    <t>lote_salida</t>
  </si>
  <si>
    <t>estado_produccion</t>
  </si>
  <si>
    <t>estado_calidad</t>
  </si>
  <si>
    <t>producto_insumo_id</t>
  </si>
  <si>
    <t>lote_insumo</t>
  </si>
  <si>
    <t>unidad_insumo</t>
  </si>
  <si>
    <t>cantidad_insumo</t>
  </si>
  <si>
    <t>producto_salida_id</t>
  </si>
  <si>
    <t>unidad_salida</t>
  </si>
  <si>
    <t>salida_total</t>
  </si>
  <si>
    <t>salida_buena</t>
  </si>
  <si>
    <t>reproceso</t>
  </si>
  <si>
    <t>merma</t>
  </si>
  <si>
    <t>rendimiento_pct</t>
  </si>
  <si>
    <t>Calidad, frío, vencimientos y mermas</t>
  </si>
  <si>
    <t>Registra condición, temperatura, cantidad afectada y disposición sin borrar el hecho original.</t>
  </si>
  <si>
    <t>La cuarentena, liberación, rechazo, reproceso o desecho deben quedar explícitos y con evidencia.</t>
  </si>
  <si>
    <t>evento_id</t>
  </si>
  <si>
    <t>fecha_evento</t>
  </si>
  <si>
    <t>tipo_evento</t>
  </si>
  <si>
    <t>cantidad_afectada</t>
  </si>
  <si>
    <t>disposicion</t>
  </si>
  <si>
    <t>Retornables, LPN y custodia</t>
  </si>
  <si>
    <t>Controla canastillas, cajas, contenedores y otras unidades retornables como activos en custodia.</t>
  </si>
  <si>
    <t>Registra salida y recepción por separado; investiga cualquier diferencia antes de cerrar.</t>
  </si>
  <si>
    <t>movimiento_retornable_id</t>
  </si>
  <si>
    <t>tipo_retornable</t>
  </si>
  <si>
    <t>unidad_identificada_lpn</t>
  </si>
  <si>
    <t>cantidad_salida</t>
  </si>
  <si>
    <t>Inventario de estaciones operativas</t>
  </si>
  <si>
    <t>Describe el puesto real: lugar, proceso, actor, movilidad, ambiente, dispositivo, sesión, periféricos, infraestructura y contingencia.</t>
  </si>
  <si>
    <t>Haz el recorrido físico y registra evidencia. No marques ACTIVO sin validar conectividad, energía y forma de contingencia.</t>
  </si>
  <si>
    <t>estacion_id</t>
  </si>
  <si>
    <t>perfil_estacion</t>
  </si>
  <si>
    <t>proceso_principal</t>
  </si>
  <si>
    <t>actor_principal</t>
  </si>
  <si>
    <t>picos_operativos</t>
  </si>
  <si>
    <t>movilidad</t>
  </si>
  <si>
    <t>interaccion_ambiental</t>
  </si>
  <si>
    <t>dispositivo</t>
  </si>
  <si>
    <t>tipo_sesion</t>
  </si>
  <si>
    <t>perifericos</t>
  </si>
  <si>
    <t>infraestructura</t>
  </si>
  <si>
    <t>contingencia</t>
  </si>
  <si>
    <t>Panel operativo del piloto</t>
  </si>
  <si>
    <t>Indicadores automáticos para priorizar pendientes. Un cero significa que no hay registros o alertas en la plantilla.</t>
  </si>
  <si>
    <t>Pulsa ACTUALIZAR para recalcular. Revisa primero diferencias, tránsito, calidad y estaciones pendientes.</t>
  </si>
  <si>
    <t>ESTADO OPERATIVO</t>
  </si>
  <si>
    <t>Productos activos</t>
  </si>
  <si>
    <t>Solicitudes abiertas</t>
  </si>
  <si>
    <t>Remisiones en tránsito</t>
  </si>
  <si>
    <t>Diferencias recepción</t>
  </si>
  <si>
    <t>Diferencias de conteo</t>
  </si>
  <si>
    <t>Alertas calidad</t>
  </si>
  <si>
    <t>Estaciones por validar</t>
  </si>
  <si>
    <t>Rendimiento promedio</t>
  </si>
  <si>
    <t>Indicador</t>
  </si>
  <si>
    <t>Valor</t>
  </si>
  <si>
    <t>Diferencias conteo</t>
  </si>
  <si>
    <t>VENTO · OPERACIÓN PILOTO</t>
  </si>
  <si>
    <t>Libro local para preparar Centro de Producción y satélites con la misma lógica futura de NEXO. No actualiza Supabase ni certifica implementación.</t>
  </si>
  <si>
    <t>FLUJO DIARIO RECOMENDADO</t>
  </si>
  <si>
    <t>1. Completa catálogos y valida ubicaciones.</t>
  </si>
  <si>
    <t>2. Registra la solicitud sin reemplazar cantidades.</t>
  </si>
  <si>
    <t>3. Prepara y despacha la remisión por etapas.</t>
  </si>
  <si>
    <t>4. Recibe físicamente y documenta diferencias.</t>
  </si>
  <si>
    <t>5. Registra movimientos, conteos y producción.</t>
  </si>
  <si>
    <t>6. Revisa el panel y cierra solo con evidencia.</t>
  </si>
  <si>
    <t>REGLAS QUE EVITAN PÉRDIDA DE INFORMACIÓN</t>
  </si>
  <si>
    <t>• Un código estable nunca se reutiliza.</t>
  </si>
  <si>
    <t>• Una fila representa un hecho o línea.</t>
  </si>
  <si>
    <t>• No borres: corrige con documento relacionado.</t>
  </si>
  <si>
    <t>• Conteo y ajuste son hechos distintos.</t>
  </si>
  <si>
    <t>• Terminado y liberado son estados distintos.</t>
  </si>
  <si>
    <t>• No guardes claves, PIN, pagos ni datos sensibles.</t>
  </si>
  <si>
    <t>ABRIR MÓDULO</t>
  </si>
  <si>
    <t>e8e642a0-265c-40a1-bc4c-714eaa3d676b</t>
  </si>
  <si>
    <t>Abatidor</t>
  </si>
  <si>
    <t>Maquinaria y Equipos</t>
  </si>
  <si>
    <t>un</t>
  </si>
  <si>
    <t>Sincronizado desde Supabase</t>
  </si>
  <si>
    <t>tipo=insumo; área_producción=general; sku=EQP-ABATID-000559</t>
  </si>
  <si>
    <t>bf5e52a9-6066-45db-a453-5a6fbf3b6d34</t>
  </si>
  <si>
    <t>Abelico de Nutella</t>
  </si>
  <si>
    <t>Panaderia y bolleria</t>
  </si>
  <si>
    <t>tipo=venta; área_producción=general; sku=VEN-ABELIC-000894</t>
  </si>
  <si>
    <t>ce0e5301-6d13-46d6-984b-7446639809e5</t>
  </si>
  <si>
    <t>Aceite de Ajo</t>
  </si>
  <si>
    <t>Salsas listas para servicio</t>
  </si>
  <si>
    <t>4ca2d4d0-b2e6-465b-ba2d-bfe6e2235e05</t>
  </si>
  <si>
    <t>Unidad operativa temporal</t>
  </si>
  <si>
    <t>l</t>
  </si>
  <si>
    <t>tipo=preparacion; área_producción=general; uso_presentación=remission; fuente_presentación=manual; sku=PRE-ACEITE-000035</t>
  </si>
  <si>
    <t>f3f59ee0-b81e-4ca3-b2b5-675f47468174</t>
  </si>
  <si>
    <t>Aceite de Coco</t>
  </si>
  <si>
    <t>Aceites y Grasas</t>
  </si>
  <si>
    <t>d359413c-c322-494d-96b8-a1350694e5d7</t>
  </si>
  <si>
    <t>Galón de 6 litros</t>
  </si>
  <si>
    <t>ml</t>
  </si>
  <si>
    <t>tipo=insumo; área_producción=general; uso_presentación=general; fuente_presentación=manual; 2 presentación(es) adicional(es) en Supabase; sku=INS-ACEITE-000347</t>
  </si>
  <si>
    <t>82e0a009-29a9-4c95-a7a8-819e0dbaf449</t>
  </si>
  <si>
    <t>Aceite de Girasol</t>
  </si>
  <si>
    <t>b46ae162-80fb-4369-830c-4e41b2beaa5e</t>
  </si>
  <si>
    <t>POTE</t>
  </si>
  <si>
    <t>tipo=insumo; área_producción=general; uso_presentación=remission; fuente_presentación=supplier_primary; 2 presentación(es) adicional(es) en Supabase; sku=INS-ACEITE-000342</t>
  </si>
  <si>
    <t>03d31f01-6293-49ed-9c7c-18a082df02df</t>
  </si>
  <si>
    <t>Aceite de Oliva</t>
  </si>
  <si>
    <t>672ca93c-94c6-4155-ae1c-4fa368b75628</t>
  </si>
  <si>
    <t>Pote de 5 litros</t>
  </si>
  <si>
    <t>tipo=insumo; área_producción=general; uso_presentación=remission; fuente_presentación=manual; 2 presentación(es) adicional(es) en Supabase; sku=INS-ACEITE-000115</t>
  </si>
  <si>
    <t>9f6297ee-2841-471e-954c-4e79b5470867</t>
  </si>
  <si>
    <t>Aceite Vegetal</t>
  </si>
  <si>
    <t>c64b3baf-e1f9-401c-ab59-26ac7bc44015</t>
  </si>
  <si>
    <t>Galón de 20 litros</t>
  </si>
  <si>
    <t>tipo=insumo; área_producción=general; uso_presentación=remission; fuente_presentación=manual; 3 presentación(es) adicional(es) en Supabase; sku=INS-ACEITE-000172</t>
  </si>
  <si>
    <t>9c5e2a0a-eb80-4e7e-9e3d-72c171503b39</t>
  </si>
  <si>
    <t>Aceitunas Negras</t>
  </si>
  <si>
    <t>Enlatados y Conservas</t>
  </si>
  <si>
    <t>d5478d89-4d22-4414-b3b9-6cac39b9af63</t>
  </si>
  <si>
    <t>Tarro 340 g</t>
  </si>
  <si>
    <t>tipo=insumo; área_producción=general; uso_presentación=remission; fuente_presentación=manual; 1 presentación(es) adicional(es) en Supabase; sku=INS-ACEITU-000773</t>
  </si>
  <si>
    <t>a9a41fae-927d-49fc-ade5-9163c7ffee18</t>
  </si>
  <si>
    <t>Aerosol Antiadherente PAM</t>
  </si>
  <si>
    <t>da83b46b-2736-4d86-bc24-4a5d72e9b018</t>
  </si>
  <si>
    <t>Lata</t>
  </si>
  <si>
    <t>tipo=insumo; área_producción=general; uso_presentación=general; fuente_presentación=manual; 1 presentación(es) adicional(es) en Supabase; sku=INS-AEROSO-000591</t>
  </si>
  <si>
    <t>5fa8673c-feaf-4dee-99f3-f07c7b8dbdb6</t>
  </si>
  <si>
    <t>Affogato</t>
  </si>
  <si>
    <t>Helados y frios dulces</t>
  </si>
  <si>
    <t>tipo=venta; área_producción=general; sku=VEN-AFFOGA-000717</t>
  </si>
  <si>
    <t>d8f89235-55c7-4c43-a826-8b4713781146</t>
  </si>
  <si>
    <t>Agua</t>
  </si>
  <si>
    <t>Insumos Bebidas</t>
  </si>
  <si>
    <t>a90455f9-dfea-4826-b4bb-94115a652b12</t>
  </si>
  <si>
    <t>Costo 1 l</t>
  </si>
  <si>
    <t>tipo=insumo; área_producción=general; uso_presentación=purchase; fuente_presentación=supplier_primary; sku=INS-AGUA-000018</t>
  </si>
  <si>
    <t>a0c40b80-ab43-44e5-8bf5-dc4177805443</t>
  </si>
  <si>
    <t>Agua Hatsu</t>
  </si>
  <si>
    <t>Bebidas frias</t>
  </si>
  <si>
    <t>49684ea1-4522-4cb2-96b3-c7667dc91b26</t>
  </si>
  <si>
    <t>Caja de 24 un</t>
  </si>
  <si>
    <t>tipo=venta; área_producción=general; uso_presentación=remission; fuente_presentación=manual; 2 presentación(es) adicional(es) en Supabase; sku=VEN-AGUAHA-000067</t>
  </si>
  <si>
    <t>770e5027-e2aa-4da2-a175-412820bf3b8e</t>
  </si>
  <si>
    <t>Agua Pet 600 ml</t>
  </si>
  <si>
    <t>568945e1-dac0-4e26-883a-e775fec0b80d</t>
  </si>
  <si>
    <t>Bandeja</t>
  </si>
  <si>
    <t>tipo=venta; área_producción=general; uso_presentación=remission; fuente_presentación=supplier_primary; 1 presentación(es) adicional(es) en Supabase; sku=VEN-AGUAPE-000482</t>
  </si>
  <si>
    <t>88d22b10-64cf-42fa-8e87-dd906d73cdfa</t>
  </si>
  <si>
    <t>Aguacate</t>
  </si>
  <si>
    <t>Verduras Base</t>
  </si>
  <si>
    <t>80d0be1e-ad9e-41ff-b192-ae28d6ffdd2d</t>
  </si>
  <si>
    <t>Bolsa de 1 kg</t>
  </si>
  <si>
    <t>tipo=insumo; área_producción=general; uso_presentación=general; fuente_presentación=manual; 1 presentación(es) adicional(es) en Supabase; sku=INS-AGUACA-000408</t>
  </si>
  <si>
    <t>cd167bf8-6266-4073-bee6-a3aa424f4aa0</t>
  </si>
  <si>
    <t>Ahuyama</t>
  </si>
  <si>
    <t>013cfff9-c920-40e2-927d-cc3ee030bb17</t>
  </si>
  <si>
    <t>tipo=insumo; área_producción=general; uso_presentación=general; fuente_presentación=manual; 1 presentación(es) adicional(es) en Supabase; sku=INS-AHUYAM-000494</t>
  </si>
  <si>
    <t>b9658e63-64e8-4c37-99de-5ef181910cb8</t>
  </si>
  <si>
    <t>Aire acondicionado</t>
  </si>
  <si>
    <t>tipo=insumo; área_producción=general; sku=EQP-AIREAC-000575</t>
  </si>
  <si>
    <t>4aa56072-0444-4980-a71b-345257b44fdd</t>
  </si>
  <si>
    <t>Aire acondicionado 12000 btu</t>
  </si>
  <si>
    <t>tipo=insumo; área_producción=general; sku=EQP-AIREAC-000982</t>
  </si>
  <si>
    <t>c9955703-5ab1-4005-8644-28dec1d582d3</t>
  </si>
  <si>
    <t>Aire acondicionado 24000 btu</t>
  </si>
  <si>
    <t>tipo=insumo; área_producción=general; sku=EQP-AIREAC-000981</t>
  </si>
  <si>
    <t>ec100501-ff5d-4e27-a5cc-8985510ab8ce</t>
  </si>
  <si>
    <t>Aire acondicionado mabe</t>
  </si>
  <si>
    <t>Barismo</t>
  </si>
  <si>
    <t>tipo=insumo; área_producción=general; sku=EQP-AIREAC-000972</t>
  </si>
  <si>
    <t>166c289a-edda-452e-8f47-e779c7153fbc</t>
  </si>
  <si>
    <t>Aire acondicionado mabel</t>
  </si>
  <si>
    <t>tipo=insumo; área_producción=general; sku=EQP-AIREAC-000668</t>
  </si>
  <si>
    <t>923e7c10-6673-422c-8b75-9715f67094c8</t>
  </si>
  <si>
    <t>Aire industrial de 36000 btu</t>
  </si>
  <si>
    <t>tipo=insumo; área_producción=general; sku=EQP-AIREIN-000983</t>
  </si>
  <si>
    <t>ae75c0f7-ece7-46d5-ab70-0f7c44c7c4e2</t>
  </si>
  <si>
    <t>Ají en Escamas</t>
  </si>
  <si>
    <t>Especias y Condimentos Secos</t>
  </si>
  <si>
    <t>195ebcd7-7696-4bc1-b094-0e404ada56ea</t>
  </si>
  <si>
    <t>Pote 340,2 g</t>
  </si>
  <si>
    <t>tipo=insumo; área_producción=general; uso_presentación=remission; fuente_presentación=manual; 2 presentación(es) adicional(es) en Supabase; sku=INS-AJIENE-000041</t>
  </si>
  <si>
    <t>f5631d14-78df-4cd0-b7ff-2a6c0811578b</t>
  </si>
  <si>
    <t>Ajo en Polvo</t>
  </si>
  <si>
    <t>b1930ab6-aafb-465e-ac0d-75b9a385563d</t>
  </si>
  <si>
    <t>Pote de 453,6 gr</t>
  </si>
  <si>
    <t>tipo=insumo; área_producción=general; uso_presentación=general; fuente_presentación=manual; 1 presentación(es) adicional(es) en Supabase; sku=INS-AJOENP-000522</t>
  </si>
  <si>
    <t>92708031-37ba-4d0f-bbb5-0e5f3c3ac8b5</t>
  </si>
  <si>
    <t>Ajo Pelado</t>
  </si>
  <si>
    <t>b3ac49b0-5955-4c7e-a58f-d55cebe49580</t>
  </si>
  <si>
    <t>tipo=insumo; área_producción=general; uso_presentación=general; fuente_presentación=manual; 1 presentación(es) adicional(es) en Supabase; sku=INS-AJOPEL-000036</t>
  </si>
  <si>
    <t>6330b583-aa60-44e0-82a0-adb1d6c3d6ab</t>
  </si>
  <si>
    <t>Ajo Porro</t>
  </si>
  <si>
    <t>affb3c9e-0a3e-4f79-91e7-c0db22b539cb</t>
  </si>
  <si>
    <t>tipo=insumo; área_producción=general; uso_presentación=general; fuente_presentación=manual; 1 presentación(es) adicional(es) en Supabase; sku=INS-AJOPOR-000496</t>
  </si>
  <si>
    <t>97fad903-4e61-41fd-801c-5ab112c6fef3</t>
  </si>
  <si>
    <t>Ajo Rostizado</t>
  </si>
  <si>
    <t>Mise en place vegetal</t>
  </si>
  <si>
    <t>tipo=preparacion; área_producción=general; sku=PRE-AJOROS-000770</t>
  </si>
  <si>
    <t>952009af-06d9-4fc7-9ede-3858dfa7e28b</t>
  </si>
  <si>
    <t>Ajonjolí blanco</t>
  </si>
  <si>
    <t>Frutos Secos y Semillas</t>
  </si>
  <si>
    <t>d6e7c26e-ad09-4d2e-89ff-f8e73969e4db</t>
  </si>
  <si>
    <t>tipo=insumo; área_producción=general; uso_presentación=general; fuente_presentación=manual; 1 presentación(es) adicional(es) en Supabase; sku=INS-AJONJO-000663</t>
  </si>
  <si>
    <t>21380507-f4f5-48fb-8ecf-2107584641d1</t>
  </si>
  <si>
    <t>Ajonjolí Negro</t>
  </si>
  <si>
    <t>9787020a-cb53-48e6-8c9d-4221b8ef1366</t>
  </si>
  <si>
    <t>tipo=insumo; área_producción=general; uso_presentación=general; fuente_presentación=manual; 1 presentación(es) adicional(es) en Supabase; sku=INS-AJONJO-000646</t>
  </si>
  <si>
    <t>67e563ef-893e-4ad1-b53e-72fb562608ce</t>
  </si>
  <si>
    <t>Albahaca</t>
  </si>
  <si>
    <t>Hierbas Frescas</t>
  </si>
  <si>
    <t>beb0afc3-bd7c-42b4-92f3-fc82f9f1f80f</t>
  </si>
  <si>
    <t xml:space="preserve">BOLSA </t>
  </si>
  <si>
    <t>tipo=insumo; área_producción=general; uso_presentación=remission; fuente_presentación=supplier_primary; 2 presentación(es) adicional(es) en Supabase; sku=INS-ALBAHA-000117</t>
  </si>
  <si>
    <t>f0956e68-0094-4682-87b3-c12822dd1328</t>
  </si>
  <si>
    <t>Alcaparras Baby</t>
  </si>
  <si>
    <t>308bda4f-7fc0-4473-9649-8f1cc0314ab1</t>
  </si>
  <si>
    <t>Pote 250 g</t>
  </si>
  <si>
    <t>tipo=insumo; área_producción=general; uso_presentación=remission; fuente_presentación=manual; 2 presentación(es) adicional(es) en Supabase; sku=INS-ALCAPA-000173</t>
  </si>
  <si>
    <t>d3972ed1-27f3-4659-a05f-6cb6c91b16eb</t>
  </si>
  <si>
    <t>Alcohol</t>
  </si>
  <si>
    <t>General</t>
  </si>
  <si>
    <t>679375dd-c7a7-4c16-972e-d410e61a825a</t>
  </si>
  <si>
    <t>Pote</t>
  </si>
  <si>
    <t>tipo=insumo; área_producción=general; uso_presentación=remission; fuente_presentación=supplier_primary; 2 presentación(es) adicional(es) en Supabase; sku=INS-ALCOHO-000517</t>
  </si>
  <si>
    <t>e89d0afd-20c4-45b2-81fa-04e2ac500824</t>
  </si>
  <si>
    <t>Alfajor de Arequipe</t>
  </si>
  <si>
    <t>Tortas y postres</t>
  </si>
  <si>
    <t>2d3f4116-9cfd-4803-9eda-cc2e33db3ca0</t>
  </si>
  <si>
    <t>Unidad operativa</t>
  </si>
  <si>
    <t>tipo=venta; área_producción=general; uso_presentación=remission; fuente_presentación=manual; sku=VEN-ALFAJO-000465</t>
  </si>
  <si>
    <t>506c2640-5819-4694-98d2-1002339a7019</t>
  </si>
  <si>
    <t>Alfajor de Chocolate</t>
  </si>
  <si>
    <t>1b22ab45-d0ef-45b4-bb5e-d10e2b952988</t>
  </si>
  <si>
    <t>tipo=venta; área_producción=general; uso_presentación=remission; fuente_presentación=manual; sku=VEN-ALFAJO-000463</t>
  </si>
  <si>
    <t>2e6ed1d5-eff7-478e-818a-e3a77f87614f</t>
  </si>
  <si>
    <t>Alfajor de Chocolate Blanco</t>
  </si>
  <si>
    <t>e9cfc085-af88-4a47-a776-addc97313a00</t>
  </si>
  <si>
    <t>tipo=venta; área_producción=general; uso_presentación=remission; fuente_presentación=manual; sku=VEN-ALFAJO-000464</t>
  </si>
  <si>
    <t>3e4dd48c-9fec-429d-9e57-9799824ee5a9</t>
  </si>
  <si>
    <t>Alioli</t>
  </si>
  <si>
    <t>4f5e107c-2d91-400d-80ae-9f62f8c160c0</t>
  </si>
  <si>
    <t>tipo=preparacion; área_producción=general; uso_presentación=remission; fuente_presentación=manual; sku=PRE-ALIOLI-000219</t>
  </si>
  <si>
    <t>0dd8cd7b-6ccb-4d6d-93af-80a0bd21bfea</t>
  </si>
  <si>
    <t>Almendra Fileteada</t>
  </si>
  <si>
    <t>Granos y Cereales</t>
  </si>
  <si>
    <t>694757fa-fdda-47de-ab11-e2225bc6b9dc</t>
  </si>
  <si>
    <t>tipo=insumo; área_producción=general; uso_presentación=remission; fuente_presentación=manual; 2 presentación(es) adicional(es) en Supabase; sku=INS-ALMEND-000174</t>
  </si>
  <si>
    <t>6e7dbe51-784e-427c-9874-4237c9e52816</t>
  </si>
  <si>
    <t>Almidón de Maíz</t>
  </si>
  <si>
    <t>Harinas y Derivados</t>
  </si>
  <si>
    <t>4ba184d0-b2b2-40a3-9d04-3f39414dbcef</t>
  </si>
  <si>
    <t>BOLSA 1 kg</t>
  </si>
  <si>
    <t>tipo=insumo; área_producción=general; uso_presentación=remission; fuente_presentación=supplier_primary; 2 presentación(es) adicional(es) en Supabase; sku=INS-ALMIDO-000210</t>
  </si>
  <si>
    <t>f96fb6fd-7122-4048-b7d8-584bedbe124d</t>
  </si>
  <si>
    <t>Almidón de Yuca</t>
  </si>
  <si>
    <t>2dec84bf-ce9e-48bb-95ea-8b0e199e60bf</t>
  </si>
  <si>
    <t>BOLSA</t>
  </si>
  <si>
    <t>tipo=insumo; área_producción=general; uso_presentación=remission; fuente_presentación=supplier_primary; 2 presentación(es) adicional(es) en Supabase; sku=INS-ALMIDO-000188</t>
  </si>
  <si>
    <t>67898159-f0cb-4916-8fa1-2dde06b3d182</t>
  </si>
  <si>
    <t>Almojábana</t>
  </si>
  <si>
    <t>c50bb862-183b-458e-83aa-625fc9b0b89f</t>
  </si>
  <si>
    <t>tipo=venta; área_producción=general; uso_presentación=remission; fuente_presentación=manual; sku=VEN-ALMOJA-000435</t>
  </si>
  <si>
    <t>97c043c4-39a3-4558-99af-274cd40bc066</t>
  </si>
  <si>
    <t>Amarenas</t>
  </si>
  <si>
    <t>Saborizantes y Extractos</t>
  </si>
  <si>
    <t>486437c3-99dd-46c8-b7a3-c94deeac9a05</t>
  </si>
  <si>
    <t>Pote 3 kg</t>
  </si>
  <si>
    <t>tipo=insumo; área_producción=general; uso_presentación=remission; fuente_presentación=manual; 2 presentación(es) adicional(es) en Supabase; sku=INS-AMAREN-000294</t>
  </si>
  <si>
    <t>608c46a5-3449-456f-bca2-0ae7c21f2f3b</t>
  </si>
  <si>
    <t>Amaretto</t>
  </si>
  <si>
    <t>Licores y Destilados</t>
  </si>
  <si>
    <t>c4c86b6c-14e5-40ed-ab4a-730da18c4589</t>
  </si>
  <si>
    <t>Botella de 750 ml Convier</t>
  </si>
  <si>
    <t>tipo=insumo; área_producción=general; uso_presentación=remission; fuente_presentación=manual; 4 presentación(es) adicional(es) en Supabase; sku=INS-AMARET-000287</t>
  </si>
  <si>
    <t>40570b9f-5987-47b2-b3c6-ef3ce233448d</t>
  </si>
  <si>
    <t>Americano</t>
  </si>
  <si>
    <t>Cafe y espresso</t>
  </si>
  <si>
    <t>tipo=venta; área_producción=general; sku=VEN-AMERIC-000683</t>
  </si>
  <si>
    <t>28e6268f-565f-47fa-b26e-66c7b951680b</t>
  </si>
  <si>
    <t>Americano saudo</t>
  </si>
  <si>
    <t>Otras bebidas calientes</t>
  </si>
  <si>
    <t>tipo=venta; área_producción=general; sku=VEN-AMERIC-000885</t>
  </si>
  <si>
    <t>83815b30-8a7e-49d7-8bcd-2912ff119351</t>
  </si>
  <si>
    <t>Aperol</t>
  </si>
  <si>
    <t>250a8c90-e475-4da9-a680-eb78cd920248</t>
  </si>
  <si>
    <t>Botella de 750 ml</t>
  </si>
  <si>
    <t>tipo=insumo; área_producción=general; uso_presentación=remission; fuente_presentación=manual; 1 presentación(es) adicional(es) en Supabase; sku=INS-APEROL-000289</t>
  </si>
  <si>
    <t>5c28775c-7de0-469b-8855-97815aac40f5</t>
  </si>
  <si>
    <t>Arándanos</t>
  </si>
  <si>
    <t>Frutas Frescas</t>
  </si>
  <si>
    <t>106267f0-c4bd-494a-af06-d4048cc9705f</t>
  </si>
  <si>
    <t>Bandeja de 125 g</t>
  </si>
  <si>
    <t>tipo=insumo; área_producción=general; uso_presentación=remission; fuente_presentación=manual; 2 presentación(es) adicional(es) en Supabase; sku=INS-ARANDA-000126</t>
  </si>
  <si>
    <t>dd019c32-84b3-460f-9090-c62e9f4f17ce</t>
  </si>
  <si>
    <t>Arándanos Congelados</t>
  </si>
  <si>
    <t>5ed30e3d-ba92-40f1-a193-de1ea766583f</t>
  </si>
  <si>
    <t>Bolsa de 1,36 kg</t>
  </si>
  <si>
    <t>tipo=insumo; área_producción=general; uso_presentación=general; fuente_presentación=manual; 1 presentación(es) adicional(es) en Supabase; sku=INS-ARANDA-000674</t>
  </si>
  <si>
    <t>b4d56187-0be9-4956-b4aa-0259f939c388</t>
  </si>
  <si>
    <t>Arequipe</t>
  </si>
  <si>
    <t>Rellenos Industriales</t>
  </si>
  <si>
    <t>8fd769ad-22bd-40bc-b1c7-f67c4157c6f3</t>
  </si>
  <si>
    <t>Bolsa de 5 kg</t>
  </si>
  <si>
    <t>tipo=insumo; área_producción=general; uso_presentación=remission; fuente_presentación=manual; 2 presentación(es) adicional(es) en Supabase; sku=INS-AREQUI-000310</t>
  </si>
  <si>
    <t>1f686d80-dfd4-41ce-8473-d4b689d2baaf</t>
  </si>
  <si>
    <t>Aromatica</t>
  </si>
  <si>
    <t>78ef68db-ef32-4dd6-a927-6807265c5423</t>
  </si>
  <si>
    <t>Caja de 60 un</t>
  </si>
  <si>
    <t>tipo=insumo; área_producción=general; uso_presentación=remission; fuente_presentación=manual; 1 presentación(es) adicional(es) en Supabase; sku=INS-AROMAT-000658</t>
  </si>
  <si>
    <t>0469cca9-088c-44ba-a485-39dcaae4353c</t>
  </si>
  <si>
    <t>Arroz Blanco</t>
  </si>
  <si>
    <t>702b3e2a-aa32-44ee-a11f-1a898b7f1fba</t>
  </si>
  <si>
    <t>Bolsa de 500 g</t>
  </si>
  <si>
    <t>tipo=insumo; área_producción=general; uso_presentación=remission; fuente_presentación=manual; 2 presentación(es) adicional(es) en Supabase; sku=INS-ARROZB-000175</t>
  </si>
  <si>
    <t>15d0144e-0eed-4ae4-899f-652990084a37</t>
  </si>
  <si>
    <t>Avellanas</t>
  </si>
  <si>
    <t>4a8827d9-71be-4c46-ba7f-cfae59f97143</t>
  </si>
  <si>
    <t>bolsa 1 g</t>
  </si>
  <si>
    <t>tipo=insumo; área_producción=general; uso_presentación=purchase; fuente_presentación=supplier_primary; sku=INS-AVELLA-000642</t>
  </si>
  <si>
    <t>3c03b74a-9b5e-47de-b2f9-8dfe0cf39251</t>
  </si>
  <si>
    <t>Avena cubana</t>
  </si>
  <si>
    <t>tipo=venta; área_producción=general; sku=VEN-AVENAC-000949</t>
  </si>
  <si>
    <t>0dd0c93f-6c86-4043-8396-2f0d39b37d9a</t>
  </si>
  <si>
    <t>Avena en Hojuelas</t>
  </si>
  <si>
    <t>e421e755-c8d4-4b65-aac1-7edffeaf0fc0</t>
  </si>
  <si>
    <t>tipo=insumo; área_producción=general; uso_presentación=purchase; fuente_presentación=supplier_primary; sku=INS-AVENAE-000647</t>
  </si>
  <si>
    <t>6020f9ef-9bc0-4a65-87f6-c4d84f601f4b</t>
  </si>
  <si>
    <t>Azúcar Blanca</t>
  </si>
  <si>
    <t>Azúcares y Edulcorantes</t>
  </si>
  <si>
    <t>94f00cf9-b5a4-4124-a70c-a3add679ee1d</t>
  </si>
  <si>
    <t>tipo=insumo; área_producción=general; uso_presentación=remission; fuente_presentación=manual; 2 presentación(es) adicional(es) en Supabase; sku=INS-AZUCAR-000017</t>
  </si>
  <si>
    <t>4f45a711-ae30-4188-be07-a0a94373fe64</t>
  </si>
  <si>
    <t>Azúcar Morena</t>
  </si>
  <si>
    <t>ec1e34a4-8f76-4599-9bc0-b172a5eae15a</t>
  </si>
  <si>
    <t>tipo=insumo; área_producción=general; uso_presentación=remission; fuente_presentación=manual; 2 presentación(es) adicional(es) en Supabase; sku=INS-AZUCAR-000070</t>
  </si>
  <si>
    <t>089cc123-93e3-43a3-b0f6-9cfbf9730e5b</t>
  </si>
  <si>
    <t>Azúcar Perla 250gr</t>
  </si>
  <si>
    <t>2a0d4c93-ac81-40cd-acad-a6d2c28e7349</t>
  </si>
  <si>
    <t>Bolsa 250 g</t>
  </si>
  <si>
    <t>tipo=insumo; área_producción=general; uso_presentación=purchase; fuente_presentación=supplier_primary; sku=INS-AZUCAR-000593</t>
  </si>
  <si>
    <t>2fe2ef20-871b-43c0-a302-b4ab71681174</t>
  </si>
  <si>
    <t>Azúcar Pulverizada</t>
  </si>
  <si>
    <t>901d04df-a3ca-496f-8e70-1998952ecca1</t>
  </si>
  <si>
    <t>tipo=insumo; área_producción=general; uso_presentación=remission; fuente_presentación=manual; 2 presentación(es) adicional(es) en Supabase; sku=INS-AZUCAR-000176</t>
  </si>
  <si>
    <t>b3575318-3c20-4924-8b93-83186de765fa</t>
  </si>
  <si>
    <t>Azúcar Tubipak</t>
  </si>
  <si>
    <t>acf856ba-da6a-4113-a38b-5d6af95be30f</t>
  </si>
  <si>
    <t>Bolsa de 200 un</t>
  </si>
  <si>
    <t>tipo=insumo; área_producción=general; uso_presentación=remission; fuente_presentación=manual; 2 presentación(es) adicional(es) en Supabase; sku=INS-AZUCAR-000163</t>
  </si>
  <si>
    <t>2c11cacb-df21-439e-a813-d8d15e3fad94</t>
  </si>
  <si>
    <t>Babka ChocoBrownie</t>
  </si>
  <si>
    <t>tipo=venta; área_producción=general; sku=VEN-BABKAC-000897</t>
  </si>
  <si>
    <t>fb6ee78d-6129-409d-aeca-4a0d52849b7d</t>
  </si>
  <si>
    <t>Babka de Avena</t>
  </si>
  <si>
    <t>tipo=venta; área_producción=general; sku=VEN-BABKAD-000899</t>
  </si>
  <si>
    <t>dfc16f52-794b-4a0c-8251-944622322616</t>
  </si>
  <si>
    <t>Babka de Bocadillo</t>
  </si>
  <si>
    <t>tipo=venta; área_producción=general; sku=VEN-BABKAD-000679</t>
  </si>
  <si>
    <t>fff65edd-b05a-4d5b-9061-8576b9708670</t>
  </si>
  <si>
    <t>Babka de Chocolate</t>
  </si>
  <si>
    <t>tipo=venta; área_producción=general; sku=VEN-BABKAD-000677</t>
  </si>
  <si>
    <t>aa4fe56a-b3b4-403f-af98-99103fb7b7ea</t>
  </si>
  <si>
    <t>Babka de Coco</t>
  </si>
  <si>
    <t>tipo=venta; área_producción=general; sku=VEN-BABKAD-000681</t>
  </si>
  <si>
    <t>3f77a02b-c87b-487f-ae11-abee25ed3a58</t>
  </si>
  <si>
    <t>Babka de Manzana</t>
  </si>
  <si>
    <t>tipo=venta; área_producción=general; sku=VEN-BABKAD-000680</t>
  </si>
  <si>
    <t>419442e7-1a90-41db-82ca-a8eca2825eb7</t>
  </si>
  <si>
    <t>Babka de Queso  Dulce</t>
  </si>
  <si>
    <t>tipo=venta; área_producción=general; sku=VEN-BABKAD-000678</t>
  </si>
  <si>
    <t>8c050a43-51b3-43f4-93f9-6a96f43ea24d</t>
  </si>
  <si>
    <t>Babka de Quesos</t>
  </si>
  <si>
    <t>tipo=venta; área_producción=general; sku=VEN-BABKAD-000898</t>
  </si>
  <si>
    <t>15d4a6f8-67fc-41ad-9c5e-2622e0a0cbbb</t>
  </si>
  <si>
    <t>Banano</t>
  </si>
  <si>
    <t>d353bb2f-5623-48f0-93b3-451601e4c77c</t>
  </si>
  <si>
    <t>tipo=insumo; área_producción=general; uso_presentación=general; fuente_presentación=manual; 1 presentación(es) adicional(es) en Supabase; sku=INS-BANANO-000049</t>
  </si>
  <si>
    <t>2f2317fe-9452-465e-9bfd-22bc1681b6ed</t>
  </si>
  <si>
    <t>Bandeja Grande Vento</t>
  </si>
  <si>
    <t>Contenedores</t>
  </si>
  <si>
    <t>38be4d93-0348-466e-a31b-6454fa0de028</t>
  </si>
  <si>
    <t>Paquete de 50 un</t>
  </si>
  <si>
    <t>tipo=insumo; área_producción=general; uso_presentación=remission; fuente_presentación=manual; 1 presentación(es) adicional(es) en Supabase; sku=INS-BANDEJ-000915</t>
  </si>
  <si>
    <t>39ccb809-d61e-4855-a4d8-72ffea68887b</t>
  </si>
  <si>
    <t>BANDEJA HORNO AIRE</t>
  </si>
  <si>
    <t>Cocina Caliente/Producción</t>
  </si>
  <si>
    <t>tipo=insumo; área_producción=general; sku=EQP-BANDEJ-000801</t>
  </si>
  <si>
    <t>61b33cd1-9d53-42a8-a879-daf3f03461f4</t>
  </si>
  <si>
    <t>Bandeja Rectangular</t>
  </si>
  <si>
    <t>56124fb2-55a0-433a-9cab-e214d846f1c2</t>
  </si>
  <si>
    <t>tipo=insumo; área_producción=general; uso_presentación=remission; fuente_presentación=manual; 1 presentación(es) adicional(es) en Supabase; sku=INS-BANDEJ-000914</t>
  </si>
  <si>
    <t>39b77cba-f965-4af4-a303-36bf13ab7027</t>
  </si>
  <si>
    <t>BANDEJA SERVICIO GRANDE</t>
  </si>
  <si>
    <t>Servicio a la Mesa (Vajilla)</t>
  </si>
  <si>
    <t>tipo=insumo; área_producción=general; sku=EQP-BANDEJ-000788</t>
  </si>
  <si>
    <t>5853a505-123d-46e9-939e-229268bbe751</t>
  </si>
  <si>
    <t>BANDEJA SERVICIO PEQUE</t>
  </si>
  <si>
    <t>tipo=insumo; área_producción=general; sku=EQP-BANDEJ-000787</t>
  </si>
  <si>
    <t>9c168e0e-e049-4711-84ab-6ada2eb79907</t>
  </si>
  <si>
    <t>Bandejita Grande Molka</t>
  </si>
  <si>
    <t>495ce725-ee55-4eec-81d4-ed474a20fe77</t>
  </si>
  <si>
    <t>Paquete de 100 un</t>
  </si>
  <si>
    <t>tipo=insumo; área_producción=general; uso_presentación=remission; fuente_presentación=manual; 1 presentación(es) adicional(es) en Supabase; sku=INS-BANDEJ-000505</t>
  </si>
  <si>
    <t>cd7563c7-bc4d-4737-8fac-2301121c2d7c</t>
  </si>
  <si>
    <t>Bandejita Pequeña Molka</t>
  </si>
  <si>
    <t>69a8e049-6498-4426-ba3f-ce5aa64e69ac</t>
  </si>
  <si>
    <t>tipo=insumo; área_producción=general; uso_presentación=remission; fuente_presentación=manual; 1 presentación(es) adicional(es) en Supabase; sku=INS-BANDEJ-000506</t>
  </si>
  <si>
    <t>56e01a80-269e-4dc5-8c25-91b00fbaab8a</t>
  </si>
  <si>
    <t>Bascula 15 kilos</t>
  </si>
  <si>
    <t>tipo=insumo; área_producción=general; sku=EQP-BASCUL-000544</t>
  </si>
  <si>
    <t>9be5971b-ef8b-4e6c-b338-98121e8d2289</t>
  </si>
  <si>
    <t>Bascula 15 kilos peso</t>
  </si>
  <si>
    <t>tipo=insumo; área_producción=general; sku=EQP-BASCUL-000573</t>
  </si>
  <si>
    <t>4cf80e8a-32fa-4845-b491-553479317897</t>
  </si>
  <si>
    <t>Bascula 3 kilos</t>
  </si>
  <si>
    <t>tipo=insumo; área_producción=general; sku=EQP-BASCUL-000545</t>
  </si>
  <si>
    <t>0f9e4a4f-aa26-4267-9127-7c8d22997eb2</t>
  </si>
  <si>
    <t>Base Blanca Pizza</t>
  </si>
  <si>
    <t>8ed7b13d-b3e5-456a-b6ae-73a16ba18f05</t>
  </si>
  <si>
    <t>tipo=preparacion; área_producción=general; uso_presentación=remission; fuente_presentación=manual; sku=PRE-SALSAB-000038</t>
  </si>
  <si>
    <t>66d54c27-834e-4ab4-9100-7b128dbb62ae</t>
  </si>
  <si>
    <t>Base Bowl 1300</t>
  </si>
  <si>
    <t>81f58ac8-6a2f-4e54-81bf-dc135fdef81e</t>
  </si>
  <si>
    <t>BOLSA 50 un</t>
  </si>
  <si>
    <t>tipo=insumo; área_producción=general; uso_presentación=remission; fuente_presentación=supplier_primary; 1 presentación(es) adicional(es) en Supabase; sku=INS-BASEBO-000252</t>
  </si>
  <si>
    <t>08c44196-46f3-4b6a-9ed6-d96bb3d6e26e</t>
  </si>
  <si>
    <t>Base Bowl 750</t>
  </si>
  <si>
    <t>341c98c8-fd78-4cdf-88cb-c4e82e80d020</t>
  </si>
  <si>
    <t>tipo=insumo; área_producción=general; uso_presentación=remission; fuente_presentación=supplier_primary; 1 presentación(es) adicional(es) en Supabase; sku=INS-BASEBO-000254</t>
  </si>
  <si>
    <t>eb9487eb-1c12-450c-9037-c6dc446405bf</t>
  </si>
  <si>
    <t>Base Capri</t>
  </si>
  <si>
    <t>4b8c8ac4-949d-4537-94ad-a8fb8ab0ab46</t>
  </si>
  <si>
    <t>Bolsa de 3 kg</t>
  </si>
  <si>
    <t>tipo=insumo; área_producción=general; uso_presentación=remission; fuente_presentación=manual; 1 presentación(es) adicional(es) en Supabase; sku=INS-BASECA-000296</t>
  </si>
  <si>
    <t>9db6bcda-53a6-4735-86bc-e336ba8a6622</t>
  </si>
  <si>
    <t>Base chef dukers</t>
  </si>
  <si>
    <t>tipo=insumo; área_producción=general; sku=EQP-BASECH-000930</t>
  </si>
  <si>
    <t>b6a1a340-1f13-4cdf-9902-65fdf186fe1b</t>
  </si>
  <si>
    <t>Base Contenedor Fruta Talla M</t>
  </si>
  <si>
    <t>055a4869-97b1-4948-b597-8d88b85f4e7b</t>
  </si>
  <si>
    <t>Paquete</t>
  </si>
  <si>
    <t>tipo=insumo; área_producción=general; uso_presentación=remission; fuente_presentación=manual; 1 presentación(es) adicional(es) en Supabase; sku=INS-BASECO-000256</t>
  </si>
  <si>
    <t>209443bd-1d3f-4c92-82e4-833dfbae26d0</t>
  </si>
  <si>
    <t>Base Roja Pizza</t>
  </si>
  <si>
    <t>Salsas madre y bases saladas</t>
  </si>
  <si>
    <t>4d127bb2-d87f-4099-a780-00e0f23a299d</t>
  </si>
  <si>
    <t>tipo=preparacion; área_producción=general; uso_presentación=remission; fuente_presentación=manual; sku=PRE-BASERO-000022</t>
  </si>
  <si>
    <t>8c91c9de-82c0-475f-a01b-98746b473806</t>
  </si>
  <si>
    <t>Base Whip Topping (Chantilly)</t>
  </si>
  <si>
    <t>f4bda8bd-5e18-43ea-b662-97529a8dfee5</t>
  </si>
  <si>
    <t>Empaque de 1 litro</t>
  </si>
  <si>
    <t>tipo=insumo; área_producción=general; uso_presentación=remission; fuente_presentación=manual; 1 presentación(es) adicional(es) en Supabase; sku=INS-BASEWH-000311</t>
  </si>
  <si>
    <t>abbcd9bf-8f9d-4d08-ba67-4b7e0bc2cd16</t>
  </si>
  <si>
    <t>Batidora</t>
  </si>
  <si>
    <t>tipo=insumo; área_producción=general; sku=EQP-BATIDO-000532</t>
  </si>
  <si>
    <t>5c066f28-9d46-4886-a616-c7befaf3933d</t>
  </si>
  <si>
    <t>Batidora 20 litros</t>
  </si>
  <si>
    <t>tipo=insumo; área_producción=general; sku=EQP-BATIDO-000554</t>
  </si>
  <si>
    <t>3da2bf52-8ab3-42ab-a299-aa1f7ad927f1</t>
  </si>
  <si>
    <t>Batidora 34 litros</t>
  </si>
  <si>
    <t>tipo=insumo; área_producción=general; sku=EQP-BATIDO-000571</t>
  </si>
  <si>
    <t>7839ab85-cf4c-4304-bb61-17427530673f</t>
  </si>
  <si>
    <t>Batidora 4,7 litros</t>
  </si>
  <si>
    <t>tipo=insumo; área_producción=general; sku=EQP-BATIDO-000569</t>
  </si>
  <si>
    <t>8732aa9e-51eb-4a58-bfa5-62874ad4e08d</t>
  </si>
  <si>
    <t>Batidora 4.5 litros</t>
  </si>
  <si>
    <t>tipo=insumo; área_producción=general; sku=EQP-BATIDO-000562</t>
  </si>
  <si>
    <t>ee0c502c-339f-47bf-a13d-ca401e173242</t>
  </si>
  <si>
    <t>Bennys</t>
  </si>
  <si>
    <t>Desayunos y brunch</t>
  </si>
  <si>
    <t>tipo=venta; área_producción=general; sku=VEN-BENNYS-000742</t>
  </si>
  <si>
    <t>73a559dd-9f56-4952-bea2-67bde75767c5</t>
  </si>
  <si>
    <t>Berry Boom</t>
  </si>
  <si>
    <t>tipo=venta; área_producción=general; sku=VEN-BERRYB-000720</t>
  </si>
  <si>
    <t>8ead2271-c4d4-414f-a25b-c7edfe33b2ef</t>
  </si>
  <si>
    <t>Bicarbonato</t>
  </si>
  <si>
    <t>9e5f4174-7c80-4b5a-ad9c-8db8ca5b14f8</t>
  </si>
  <si>
    <t>Bolsa 1 kg</t>
  </si>
  <si>
    <t>tipo=insumo; área_producción=general; uso_presentación=purchase; fuente_presentación=supplier_primary; sku=INS-BICARB-000661</t>
  </si>
  <si>
    <t>1e99a2f0-2612-40f1-bb87-c721363dcd4e</t>
  </si>
  <si>
    <t>Blueberry Spritz</t>
  </si>
  <si>
    <t>Temporada</t>
  </si>
  <si>
    <t>tipo=venta; área_producción=general; sku=VEN-BLUEBE-000623</t>
  </si>
  <si>
    <t>5deac98d-cec0-47ee-9152-fdd104d8fd36</t>
  </si>
  <si>
    <t>Bocadillo Cernido</t>
  </si>
  <si>
    <t>d7044811-e41f-47de-9ea9-44ff7126c8f2</t>
  </si>
  <si>
    <t>Caja de 5 kg</t>
  </si>
  <si>
    <t>tipo=insumo; área_producción=general; uso_presentación=remission; fuente_presentación=manual; 1 presentación(es) adicional(es) en Supabase; sku=INS-BOCADI-000774</t>
  </si>
  <si>
    <t>c0eaa116-fae4-492b-a8a1-162ed9e547bf</t>
  </si>
  <si>
    <t>Bocata balsámica</t>
  </si>
  <si>
    <t>Platos fuertes</t>
  </si>
  <si>
    <t>tipo=venta; área_producción=general; sku=VEN-BOCATA-000874</t>
  </si>
  <si>
    <t>8a1082a0-0040-4113-bcea-b53e50f7c7a4</t>
  </si>
  <si>
    <t>Bocata caprese</t>
  </si>
  <si>
    <t>tipo=venta; área_producción=general; sku=VEN-BOCATA-000871</t>
  </si>
  <si>
    <t>9af29f54-bf2e-4394-9f50-a3988651f186</t>
  </si>
  <si>
    <t>Bocata morta bella</t>
  </si>
  <si>
    <t>tipo=venta; área_producción=general; sku=VEN-BOCATA-000872</t>
  </si>
  <si>
    <t>d0709a88-fdc9-46cd-9a7d-670816f10501</t>
  </si>
  <si>
    <t>Bocata pollo bianco</t>
  </si>
  <si>
    <t>tipo=venta; área_producción=general; sku=VEN-BOCATA-000873</t>
  </si>
  <si>
    <t>713140cd-197e-40fb-9c96-306983807fa0</t>
  </si>
  <si>
    <t>Bolsa de Asa Basura Blanca 10kg</t>
  </si>
  <si>
    <t>Baños</t>
  </si>
  <si>
    <t>815dab6f-1c03-4047-a78b-1d261aca3cad</t>
  </si>
  <si>
    <t>tipo=insumo; área_producción=general; uso_presentación=remission; fuente_presentación=manual; 2 presentación(es) adicional(es) en Supabase; sku=INS-BOLSAD-000579</t>
  </si>
  <si>
    <t>18a3b1d6-7743-47b9-83f7-ad24c5c47ae6</t>
  </si>
  <si>
    <t>Bolsa de Asa Basura Blanca 5kg</t>
  </si>
  <si>
    <t>f37fbf72-1acb-4c57-ace3-0a86d04aaa83</t>
  </si>
  <si>
    <t>tipo=insumo; área_producción=general; uso_presentación=remission; fuente_presentación=manual; 2 presentación(es) adicional(es) en Supabase; sku=INS-BOLSAD-000578</t>
  </si>
  <si>
    <t>66c7a285-6df1-449f-9572-17f53adab185</t>
  </si>
  <si>
    <t>Bolsa de Asa de papel Molka</t>
  </si>
  <si>
    <t>Bolsas</t>
  </si>
  <si>
    <t>ae2d51f2-c4a0-4645-9b25-868c46ac17e4</t>
  </si>
  <si>
    <t>tipo=insumo; área_producción=general; uso_presentación=remission; fuente_presentación=manual; 1 presentación(es) adicional(es) en Supabase; sku=INS-BOLSAD-000507</t>
  </si>
  <si>
    <t>4ddce8f8-eaa6-436d-9f63-45558f0bd750</t>
  </si>
  <si>
    <t>Bolsa de Asa de papel Saudo</t>
  </si>
  <si>
    <t>d3238c93-25ae-47c9-93fc-2dbbdd5b0e3b</t>
  </si>
  <si>
    <t>tipo=insumo; área_producción=general; uso_presentación=remission; fuente_presentación=manual; 1 presentación(es) adicional(es) en Supabase; sku=INS-BOLSAP-000170</t>
  </si>
  <si>
    <t>c8ca93f1-2e9a-4e73-a22c-d6256281aa61</t>
  </si>
  <si>
    <t>Bolsa de Aseo Grande</t>
  </si>
  <si>
    <t>e4852aae-c0ef-4391-8fe8-453d3ebf04e8</t>
  </si>
  <si>
    <t>Paquete de 10 un</t>
  </si>
  <si>
    <t>tipo=insumo; área_producción=general; uso_presentación=remission; fuente_presentación=manual; 1 presentación(es) adicional(es) en Supabase; sku=INS-BOLSAD-000167</t>
  </si>
  <si>
    <t>6a5607a3-09b2-423f-a946-301a52381324</t>
  </si>
  <si>
    <t>Bolsa de Mini Alfajores</t>
  </si>
  <si>
    <t>05db7abc-f4e4-4541-81c0-3756ad1412ea</t>
  </si>
  <si>
    <t>tipo=venta; área_producción=general; uso_presentación=remission; fuente_presentación=manual; sku=VEN-BOLSAD-000466</t>
  </si>
  <si>
    <t>33a3dd5e-1bc8-48e9-bf15-f82d2a0ead03</t>
  </si>
  <si>
    <t>Bolsa de Palmeritas</t>
  </si>
  <si>
    <t>2fcb237d-0b75-487b-9e15-91f58022f92a</t>
  </si>
  <si>
    <t>tipo=venta; área_producción=general; uso_presentación=remission; fuente_presentación=manual; sku=VEN-BOLSAD-000452</t>
  </si>
  <si>
    <t>8dda0a9e-824e-4a2c-888c-3d1c363d64ad</t>
  </si>
  <si>
    <t>Bolsa de Porcionar Libra</t>
  </si>
  <si>
    <t>Varios</t>
  </si>
  <si>
    <t>60a9b8d5-e018-470c-ba8f-9b562aff9f02</t>
  </si>
  <si>
    <t>tipo=insumo; área_producción=general; uso_presentación=remission; fuente_presentación=manual; 1 presentación(es) adicional(es) en Supabase; sku=INS-PAQUET-000270</t>
  </si>
  <si>
    <t>0906092d-ad2f-4f52-a091-3bbfafc3c736</t>
  </si>
  <si>
    <t>Bolsa de Porcionar Media Libra</t>
  </si>
  <si>
    <t>0940b6d1-d8e1-4037-8ebe-9567bc710bb6</t>
  </si>
  <si>
    <t>tipo=insumo; área_producción=general; uso_presentación=remission; fuente_presentación=manual; 1 presentación(es) adicional(es) en Supabase; sku=INS-BOLSAD-000269</t>
  </si>
  <si>
    <t>058bd9c8-1ceb-42ac-98ae-832f5f89eee0</t>
  </si>
  <si>
    <t>Bolsa Kraft 1 lb</t>
  </si>
  <si>
    <t>864f80a3-fe49-4f98-8821-df2edb2d34a6</t>
  </si>
  <si>
    <t>tipo=insumo; área_producción=general; uso_presentación=remission; fuente_presentación=supplier_primary; 1 presentación(es) adicional(es) en Supabase; sku=INS-BOLSAK-000341</t>
  </si>
  <si>
    <t>64c59bc7-4213-466a-84bc-26a000b00333</t>
  </si>
  <si>
    <t>Bolsa Kraft 1/2 lb</t>
  </si>
  <si>
    <t>ed002556-65fd-40af-9bdc-0ef38d939dad</t>
  </si>
  <si>
    <t>tipo=insumo; área_producción=general; uso_presentación=remission; fuente_presentación=supplier_primary; 1 presentación(es) adicional(es) en Supabase; sku=INS-BOLSAK-000340</t>
  </si>
  <si>
    <t>5816489e-96d9-4f08-9479-74b88a6018cc</t>
  </si>
  <si>
    <t>Bolsa Mini Chips</t>
  </si>
  <si>
    <t>46d94366-39b5-40a4-b577-089fdaba26de</t>
  </si>
  <si>
    <t>tipo=venta; área_producción=general; uso_presentación=remission; fuente_presentación=manual; sku=VEN-BOLSAM-000456</t>
  </si>
  <si>
    <t>8f14e7ba-0763-4b45-9dd5-f15749ebd6fc</t>
  </si>
  <si>
    <t>Bolsa Reinitas</t>
  </si>
  <si>
    <t>d502e569-c342-411a-abdc-91f2b865fa17</t>
  </si>
  <si>
    <t>tipo=venta; área_producción=general; uso_presentación=remission; fuente_presentación=manual; sku=VEN-BOLSAR-000455</t>
  </si>
  <si>
    <t>d1f197d3-217a-4e54-8dd4-8be7ef0716d8</t>
  </si>
  <si>
    <t>Bombones</t>
  </si>
  <si>
    <t>171d4bfe-66e5-4162-b17c-539708deb729</t>
  </si>
  <si>
    <t>tipo=venta; área_producción=general; uso_presentación=remission; fuente_presentación=manual; sku=VEN-BOMBON-000387</t>
  </si>
  <si>
    <t>dd80c310-0091-414c-a942-702c12710d7b</t>
  </si>
  <si>
    <t>Bondiola de Cerdo</t>
  </si>
  <si>
    <t>Carnes Rojas</t>
  </si>
  <si>
    <t>7acc4e7b-7b2c-4913-8fd7-5d2e4006b50f</t>
  </si>
  <si>
    <t>Unidad</t>
  </si>
  <si>
    <t>tipo=insumo; área_producción=general; uso_presentación=remission; fuente_presentación=supplier_primary; 2 presentación(es) adicional(es) en Supabase; sku=INS-BONDIO-000396</t>
  </si>
  <si>
    <t>1b25d88c-aa7a-4327-aa15-5141e5a9260b</t>
  </si>
  <si>
    <t>Bonita</t>
  </si>
  <si>
    <t>tipo=venta; área_producción=general; sku=VEN-BONITA-000615</t>
  </si>
  <si>
    <t>970b1376-beeb-4bf9-92df-e091c31d6310</t>
  </si>
  <si>
    <t>BOWL CÓNCAVO</t>
  </si>
  <si>
    <t>tipo=insumo; área_producción=general; sku=EQP-BOWLCO-000786</t>
  </si>
  <si>
    <t>50e2f662-b570-4688-b221-5a10b52ef50d</t>
  </si>
  <si>
    <t>BOWL GRANDE</t>
  </si>
  <si>
    <t>tipo=insumo; área_producción=general; sku=EQP-BOWLGR-000792</t>
  </si>
  <si>
    <t>834b8afd-8699-400d-b797-56dd9a601577</t>
  </si>
  <si>
    <t>BOWL MEDIANO</t>
  </si>
  <si>
    <t>tipo=insumo; área_producción=general; sku=EQP-BOWLME-000791</t>
  </si>
  <si>
    <t>c7d85bbd-3d65-4338-9e16-3fbac0a92868</t>
  </si>
  <si>
    <t>BOWL METÁLICO PEQUEÑO</t>
  </si>
  <si>
    <t>tipo=insumo; área_producción=general; sku=EQP-BOWLME-000784</t>
  </si>
  <si>
    <t>aee9a115-ca96-4eb4-9353-bd596d7d95d7</t>
  </si>
  <si>
    <t>Brandy Domecq</t>
  </si>
  <si>
    <t>ef3323dd-e210-4525-9190-37677b56c913</t>
  </si>
  <si>
    <t>tipo=insumo; área_producción=general; uso_presentación=general; fuente_presentación=manual; 1 presentación(es) adicional(es) en Supabase; sku=INS-BRANDY-000612</t>
  </si>
  <si>
    <t>398f89db-5386-4b0d-a1d9-bf8a8175bb1e</t>
  </si>
  <si>
    <t>Brazo de Reina Frutos Rojos</t>
  </si>
  <si>
    <t>49f51928-6ccd-4c08-a547-65c683f83de0</t>
  </si>
  <si>
    <t>tipo=venta; área_producción=general; uso_presentación=remission; fuente_presentación=manual; sku=VEN-BRAZOD-000462</t>
  </si>
  <si>
    <t>8dd6ab00-ccfc-47aa-ab09-eac0e543c835</t>
  </si>
  <si>
    <t>Brioche de Molde</t>
  </si>
  <si>
    <t>tipo=venta; área_producción=general; sku=VEN-BRIOCH-000676</t>
  </si>
  <si>
    <t>329bf8ac-3392-4193-8bf6-a67542105fe7</t>
  </si>
  <si>
    <t>BROCHA</t>
  </si>
  <si>
    <t>tipo=insumo; área_producción=general; sku=EQP-BROCHA-000827</t>
  </si>
  <si>
    <t>28239478-300e-4f09-9585-f19e89bdaffe</t>
  </si>
  <si>
    <t>Brownie</t>
  </si>
  <si>
    <t>7e99cb17-f624-4afd-b06b-ac59c21eff77</t>
  </si>
  <si>
    <t>tipo=venta; área_producción=general; uso_presentación=remission; fuente_presentación=manual; sku=VEN-POSTRE-000366</t>
  </si>
  <si>
    <t>1b6cdc36-9b8c-4ea1-af1a-7349d0b138c1</t>
  </si>
  <si>
    <t>Burrata de Mayo</t>
  </si>
  <si>
    <t>tipo=venta; área_producción=general; sku=VEN-BURRAT-000616</t>
  </si>
  <si>
    <t>4aa46fb2-3dbf-4820-8d48-f97f889bcc85</t>
  </si>
  <si>
    <t>Burrata Vento</t>
  </si>
  <si>
    <t>Entradas y para compartir</t>
  </si>
  <si>
    <t>tipo=venta; área_producción=general; sku=VEN-BURRAT-000729</t>
  </si>
  <si>
    <t>47dca876-72fc-477c-bd7a-79a1e2801f57</t>
  </si>
  <si>
    <t>Cacao Togo</t>
  </si>
  <si>
    <t>04f71165-ed09-4369-b04c-c741cb5d6ab8</t>
  </si>
  <si>
    <t>Bolsa de 1,5 kg</t>
  </si>
  <si>
    <t>tipo=insumo; área_producción=general; uso_presentación=general; fuente_presentación=manual; 1 presentación(es) adicional(es) en Supabase; sku=INS-CACAOT-000599</t>
  </si>
  <si>
    <t>d3b3acf2-aa48-4115-a56e-ede925ced84a</t>
  </si>
  <si>
    <t>Café Frontera en Grano</t>
  </si>
  <si>
    <t>Café</t>
  </si>
  <si>
    <t>8c80b806-37f8-4726-99a9-b3af283e01d7</t>
  </si>
  <si>
    <t>Bolsa de 2.500 g</t>
  </si>
  <si>
    <t>tipo=insumo; área_producción=general; uso_presentación=remission; fuente_presentación=manual; 2 presentación(es) adicional(es) en Supabase; sku=INS-CAFE-000147</t>
  </si>
  <si>
    <t>0e41a8fa-6d4f-474c-b3ef-948dc4deb4fe</t>
  </si>
  <si>
    <t>Café Frontera Molido</t>
  </si>
  <si>
    <t>44568ab8-fc94-4aa5-9fba-532e3d355cd7</t>
  </si>
  <si>
    <t>tipo=insumo; área_producción=general; uso_presentación=general; fuente_presentación=manual; 1 presentación(es) adicional(es) en Supabase; sku=INS-CAFEFR-000889</t>
  </si>
  <si>
    <t>11f198c2-2829-49e2-b32f-93df3e5038e7</t>
  </si>
  <si>
    <t>Café Sello Rojo Molido</t>
  </si>
  <si>
    <t>21c51b6e-bd8c-4502-a7b3-60cc1cf25aa8</t>
  </si>
  <si>
    <t>Bolsa de 2,5 kg</t>
  </si>
  <si>
    <t>tipo=insumo; área_producción=general; uso_presentación=general; fuente_presentación=manual; 1 presentación(es) adicional(es) en Supabase; sku=INS-CAFESE-000890</t>
  </si>
  <si>
    <t>6f26a059-3ae2-44e4-8eba-fe738f2b9183</t>
  </si>
  <si>
    <t>Cafetera</t>
  </si>
  <si>
    <t>tipo=insumo; área_producción=general; sku=EQP-CAFETE-000565</t>
  </si>
  <si>
    <t>187c0c23-dc8e-4bd8-9d24-37793d2e8ee9</t>
  </si>
  <si>
    <t>Cafetera oster</t>
  </si>
  <si>
    <t>tipo=insumo; área_producción=general; sku=EQP-CAFETE-000669</t>
  </si>
  <si>
    <t>e3a79547-fcf7-4e6f-93e6-259a9fa3352c</t>
  </si>
  <si>
    <t>Caja de Galletas x4</t>
  </si>
  <si>
    <t>Galletería</t>
  </si>
  <si>
    <t>tipo=venta; área_producción=general; sku=VEN-CAJADE-000851</t>
  </si>
  <si>
    <t>3c45f7ca-712e-4287-b2f6-30af6d2011db</t>
  </si>
  <si>
    <t>Caja de Galletas x4 Vento</t>
  </si>
  <si>
    <t>Cajas</t>
  </si>
  <si>
    <t>5d28108c-e737-49ec-9fbf-269463f542ad</t>
  </si>
  <si>
    <t>tipo=insumo; área_producción=general; uso_presentación=remission; fuente_presentación=manual; 1 presentación(es) adicional(es) en Supabase; sku=INS-CAJADE-000906</t>
  </si>
  <si>
    <t>1cfcad4f-a857-48b9-b8b7-f3f17a18e7ac</t>
  </si>
  <si>
    <t>Caja de Galletas x6</t>
  </si>
  <si>
    <t>tipo=venta; área_producción=general; sku=VEN-CAJADE-000852</t>
  </si>
  <si>
    <t>4a86ef71-736b-4d07-bc4a-81ca1db408ac</t>
  </si>
  <si>
    <t>Caja de Galletas x6 Vento</t>
  </si>
  <si>
    <t>14d45014-b50b-4425-b631-a0992891ca5f</t>
  </si>
  <si>
    <t>tipo=insumo; área_producción=general; uso_presentación=remission; fuente_presentación=supplier_primary; 5 presentación(es) adicional(es) en Supabase; sku=INS-CAJADE-000402</t>
  </si>
  <si>
    <t>49b7231e-903c-47af-9695-3870342a99a6</t>
  </si>
  <si>
    <t>Caja de Pan</t>
  </si>
  <si>
    <t>3d8d5ae0-de13-46b2-a127-92d31975f46c</t>
  </si>
  <si>
    <t>tipo=insumo; área_producción=general; uso_presentación=remission; fuente_presentación=manual; 1 presentación(es) adicional(es) en Supabase; sku=INS-CAJADE-000909</t>
  </si>
  <si>
    <t>0bc2baac-db50-455d-bc8c-2ffda730137c</t>
  </si>
  <si>
    <t>Caja de Pizza #11</t>
  </si>
  <si>
    <t>9bdfe7c6-efc8-4dcb-bd5e-9911fa9f77b0</t>
  </si>
  <si>
    <t>tipo=insumo; área_producción=general; uso_presentación=remission; fuente_presentación=manual; 1 presentación(es) adicional(es) en Supabase; sku=INS-CAJADE-000133</t>
  </si>
  <si>
    <t>eb910e88-c185-42a8-8250-566eea6f83bc</t>
  </si>
  <si>
    <t>Caja de Pizza #28</t>
  </si>
  <si>
    <t>22cb96aa-716b-41c5-82f0-51a8f7808fb4</t>
  </si>
  <si>
    <t>tipo=insumo; área_producción=general; uso_presentación=remission; fuente_presentación=manual; 1 presentación(es) adicional(es) en Supabase; sku=INS-CAJADE-000132</t>
  </si>
  <si>
    <t>1397fa90-180a-4c8a-8e41-3ab1ed9a4fb3</t>
  </si>
  <si>
    <t>Caja de Postre Saudo</t>
  </si>
  <si>
    <t>de04de24-2e46-4aa6-b68b-10f52a620091</t>
  </si>
  <si>
    <t>Caja</t>
  </si>
  <si>
    <t>tipo=insumo; área_producción=general; uso_presentación=remission; fuente_presentación=manual; 1 presentación(es) adicional(es) en Supabase; sku=INS-CAJADE-000134</t>
  </si>
  <si>
    <t>83c11ca2-1da2-4749-950e-e2db642d7a2d</t>
  </si>
  <si>
    <t>Caja de Postres Vento</t>
  </si>
  <si>
    <t>76279487-d212-497e-8c12-9c083cd25711</t>
  </si>
  <si>
    <t>tipo=insumo; área_producción=general; uso_presentación=remission; fuente_presentación=manual; 1 presentación(es) adicional(es) en Supabase; sku=INS-CAJADE-000908</t>
  </si>
  <si>
    <t>d2322e22-044e-4c3c-ba1c-47cf3880705b</t>
  </si>
  <si>
    <t>Caja Galleta Molka</t>
  </si>
  <si>
    <t>c6a5d534-2637-48d9-94e0-18fd36a83c3a</t>
  </si>
  <si>
    <t>tipo=insumo; área_producción=general; uso_presentación=remission; fuente_presentación=manual; 1 presentación(es) adicional(es) en Supabase; sku=INS-CAJAGA-000504</t>
  </si>
  <si>
    <t>7346b967-957f-42ba-b49a-b55a7782279f</t>
  </si>
  <si>
    <t>Caja Galleta Vento</t>
  </si>
  <si>
    <t>30e46822-db2b-4190-9b6d-24c09b2345c4</t>
  </si>
  <si>
    <t>tipo=insumo; área_producción=general; uso_presentación=remission; fuente_presentación=manual; 1 presentación(es) adicional(es) en Supabase; sku=INS-CAJAGA-000904</t>
  </si>
  <si>
    <t>03ad15ab-5abf-4fc4-b14c-dc6a2cce4f38</t>
  </si>
  <si>
    <t>Caja Postre Molka</t>
  </si>
  <si>
    <t>18531be6-ae35-4f88-9005-b43e832317d1</t>
  </si>
  <si>
    <t>tipo=insumo; área_producción=general; uso_presentación=remission; fuente_presentación=manual; 1 presentación(es) adicional(es) en Supabase; sku=INS-CAJAPO-000503</t>
  </si>
  <si>
    <t>e39b2a09-d7f0-4612-8675-aa150e120a2a</t>
  </si>
  <si>
    <t>Caja Sandwich Vento</t>
  </si>
  <si>
    <t>b4416554-1aed-45b5-a142-966c3b5082da</t>
  </si>
  <si>
    <t>tipo=insumo; área_producción=general; uso_presentación=remission; fuente_presentación=manual; 1 presentación(es) adicional(es) en Supabase; sku=INS-CAJASA-000905</t>
  </si>
  <si>
    <t>98db3d83-bcc2-4540-9b87-2d3817e6adec</t>
  </si>
  <si>
    <t>Caja Torta Vento</t>
  </si>
  <si>
    <t>c4610e38-de02-41f7-8f73-11a9f3239b0b</t>
  </si>
  <si>
    <t>tipo=insumo; área_producción=general; uso_presentación=remission; fuente_presentación=manual; 1 presentación(es) adicional(es) en Supabase; sku=INS-CAJATO-000907</t>
  </si>
  <si>
    <t>be464ba2-1484-4bc7-8087-75bd027814d4</t>
  </si>
  <si>
    <t>Cajon monedero</t>
  </si>
  <si>
    <t>tipo=insumo; área_producción=general; sku=EQP-CAJONM-000988</t>
  </si>
  <si>
    <t>5c213cdd-724b-4000-98d4-32b0a67b80d6</t>
  </si>
  <si>
    <t>Calentador chocolate</t>
  </si>
  <si>
    <t>tipo=insumo; área_producción=general; sku=EQP-CALENT-000557</t>
  </si>
  <si>
    <t>5f4c0e64-f802-407a-8c59-d30623a1284b</t>
  </si>
  <si>
    <t>CAMBRO ALTO ANTIOXIDANTE</t>
  </si>
  <si>
    <t>tipo=insumo; área_producción=general; sku=EQP-CAMBRO-000799</t>
  </si>
  <si>
    <t>f904247f-bc96-4923-ae67-2e65beaee0ba</t>
  </si>
  <si>
    <t>CAMBRO ALTO PEQUEÑO</t>
  </si>
  <si>
    <t>tipo=insumo; área_producción=general; sku=EQP-CAMBRO-000800</t>
  </si>
  <si>
    <t>6b3aaf2a-bb0b-4ad2-94c9-2f4be7464ec7</t>
  </si>
  <si>
    <t>CAMBRO GRANDE ANTIOXIDANTE</t>
  </si>
  <si>
    <t>tipo=insumo; área_producción=general; sku=EQP-CAMBRO-000798</t>
  </si>
  <si>
    <t>816defcd-0a02-4433-b948-27d931357558</t>
  </si>
  <si>
    <t>CAMBRO MEDIANO ANTIOXIDANTE</t>
  </si>
  <si>
    <t>tipo=insumo; área_producción=general; sku=EQP-CAMBRO-000795</t>
  </si>
  <si>
    <t>5041c022-36c1-4ccc-baf6-bbe3d3dd2ebe</t>
  </si>
  <si>
    <t>CAMBRO PEQUEÑO ANTIOXIDANTE</t>
  </si>
  <si>
    <t>tipo=insumo; área_producción=general; sku=EQP-CAMBRO-000796</t>
  </si>
  <si>
    <t>15c02490-5f52-42d2-a8fa-d4ecc8277a13</t>
  </si>
  <si>
    <t>Campana</t>
  </si>
  <si>
    <t>tipo=insumo; área_producción=general; sku=EQP-CAMPAN-000937</t>
  </si>
  <si>
    <t>60e780f4-5354-47d7-86ca-64eac835a8fe</t>
  </si>
  <si>
    <t>Canela en Polvo</t>
  </si>
  <si>
    <t>7e1bc53a-8eff-4457-8c1d-3ccb0ce57aed</t>
  </si>
  <si>
    <t>tipo=insumo; área_producción=general; uso_presentación=general; fuente_presentación=manual; 1 presentación(es) adicional(es) en Supabase; sku=INS-CANELA-000312</t>
  </si>
  <si>
    <t>8f2cd216-3310-4053-b7dd-9c3bbdeb7454</t>
  </si>
  <si>
    <t>Capuccino</t>
  </si>
  <si>
    <t>tipo=venta; área_producción=general; sku=VEN-CAPUCC-000686</t>
  </si>
  <si>
    <t>f72994ee-1f5e-4fda-9097-95c823e4aa1a</t>
  </si>
  <si>
    <t>Caramel Banano</t>
  </si>
  <si>
    <t>tipo=venta; área_producción=general; sku=VEN-CARAME-000718</t>
  </si>
  <si>
    <t>19e52cb5-ac8c-4b7c-b784-ea0ebb8a7985</t>
  </si>
  <si>
    <t>Caramel Biscotto</t>
  </si>
  <si>
    <t>009e6726-7989-4fac-b221-1c8c2161645f</t>
  </si>
  <si>
    <t>Pote de 5 kg</t>
  </si>
  <si>
    <t>tipo=insumo; área_producción=general; uso_presentación=general; fuente_presentación=manual; 1 presentación(es) adicional(es) en Supabase; sku=INS-CARAME-000488</t>
  </si>
  <si>
    <t>06b4b086-53de-4bf0-9d1c-e5aa2b40146c</t>
  </si>
  <si>
    <t>Cardomomo</t>
  </si>
  <si>
    <t>60bc66cf-061a-4147-8598-d7974ed3b6b3</t>
  </si>
  <si>
    <t>tipo=insumo; área_producción=general; uso_presentación=purchase; fuente_presentación=supplier_primary; sku=INS-CARDOM-000660</t>
  </si>
  <si>
    <t>376eeb3e-8b99-4d67-accd-c5fbfd260259</t>
  </si>
  <si>
    <t>Carne de Aguja</t>
  </si>
  <si>
    <t>b1cc3dad-6f92-44d9-8a44-04098ee3b18c</t>
  </si>
  <si>
    <t>bolsas 1 g</t>
  </si>
  <si>
    <t>tipo=insumo; área_producción=general; uso_presentación=purchase; fuente_presentación=supplier_primary; sku=INS-CARNED-000653</t>
  </si>
  <si>
    <t>47247cf8-9c13-44e3-8d12-2a96ecfc2e2c</t>
  </si>
  <si>
    <t>Carne de Res para Asar</t>
  </si>
  <si>
    <t>6b3e5bde-b0ad-47f5-a35e-8a6f3e8277c9</t>
  </si>
  <si>
    <t>tipo=insumo; área_producción=general; uso_presentación=general; fuente_presentación=manual; 1 presentación(es) adicional(es) en Supabase; sku=INS-CARNED-000424</t>
  </si>
  <si>
    <t>88c3c3ce-6e13-4b9e-b96d-af4c07d88a78</t>
  </si>
  <si>
    <t>Cazuelita de Maiz</t>
  </si>
  <si>
    <t>tipo=venta; área_producción=general; sku=VEN-CAZUEL-000730</t>
  </si>
  <si>
    <t>66a1ee94-ec4a-4530-bddf-d3824f85fd08</t>
  </si>
  <si>
    <t>Cebolla Blanca</t>
  </si>
  <si>
    <t>061649fd-ce49-4650-9356-b749ad150789</t>
  </si>
  <si>
    <t>tipo=insumo; área_producción=general; uso_presentación=general; fuente_presentación=manual; 1 presentación(es) adicional(es) en Supabase; sku=INS-CEBOLL-000045</t>
  </si>
  <si>
    <t>84e0b57d-5343-4cab-83ed-19b5bc256d82</t>
  </si>
  <si>
    <t>Cebolla Caramelizada</t>
  </si>
  <si>
    <t>2174d414-0441-4514-a68c-9f7c3d8aba10</t>
  </si>
  <si>
    <t>tipo=preparacion; área_producción=general; uso_presentación=remission; fuente_presentación=manual; sku=PRE-CEBOLL-000075</t>
  </si>
  <si>
    <t>09beb68c-a683-47bc-989a-063079ddb261</t>
  </si>
  <si>
    <t>Cebolla en Polvo</t>
  </si>
  <si>
    <t>79d831dd-dd15-40af-84fe-e9d57be05481</t>
  </si>
  <si>
    <t>tipo=insumo; área_producción=general; uso_presentación=purchase; fuente_presentación=supplier_primary; sku=INS-CEBOLL-000772</t>
  </si>
  <si>
    <t>1865aab5-e12a-4220-a1d6-0cc0d12c62ec</t>
  </si>
  <si>
    <t>Cebolla Encurtida</t>
  </si>
  <si>
    <t>f34d841d-3c2b-4b9d-9a46-ee01caadcb56</t>
  </si>
  <si>
    <t>tipo=preparacion; área_producción=general; uso_presentación=remission; fuente_presentación=manual; sku=PRE-CEBOLL-000087</t>
  </si>
  <si>
    <t>6964e91a-9922-4e75-81e3-22a64ac2f32b</t>
  </si>
  <si>
    <t>Cebolla Junca</t>
  </si>
  <si>
    <t>e3a586fb-453e-4d9f-a8e7-e776dceb1658</t>
  </si>
  <si>
    <t>tipo=insumo; área_producción=general; uso_presentación=general; fuente_presentación=manual; 1 presentación(es) adicional(es) en Supabase; sku=INS-CEBOLL-000397</t>
  </si>
  <si>
    <t>980953c0-3d62-4909-a416-88da1b513c2e</t>
  </si>
  <si>
    <t>Cebolla Ocañera</t>
  </si>
  <si>
    <t>f4b27b01-d77c-4f8b-b9a0-96da8acd4db9</t>
  </si>
  <si>
    <t>tipo=insumo; área_producción=general; uso_presentación=general; fuente_presentación=manual; 1 presentación(es) adicional(es) en Supabase; sku=INS-CEBOLL-000475</t>
  </si>
  <si>
    <t>f052d54e-2ff6-4ec0-9323-81a3cd924ae8</t>
  </si>
  <si>
    <t>Cebolla Ocañera Encurtida</t>
  </si>
  <si>
    <t>773755c1-bed1-4008-9905-2e25b852fa85</t>
  </si>
  <si>
    <t>tipo=preparacion; área_producción=general; uso_presentación=remission; fuente_presentación=manual; sku=PRE-CEBOLL-000220</t>
  </si>
  <si>
    <t>93a22bf1-3646-44ef-b240-81c769fe92ea</t>
  </si>
  <si>
    <t>Cebolla Roja</t>
  </si>
  <si>
    <t>84d33b84-8bc9-405f-bfd3-bd96b3377f59</t>
  </si>
  <si>
    <t>tipo=insumo; área_producción=general; uso_presentación=general; fuente_presentación=manual; 1 presentación(es) adicional(es) en Supabase; sku=INS-CEBOLL-000046</t>
  </si>
  <si>
    <t>b6032bf0-4624-4d83-af7b-0fa043bc5f99</t>
  </si>
  <si>
    <t>Cereza Marrosquino</t>
  </si>
  <si>
    <t>e9407780-b395-41b5-b9fc-431280dd5f14</t>
  </si>
  <si>
    <t>Pote 4 kg</t>
  </si>
  <si>
    <t>tipo=insumo; área_producción=general; uso_presentación=remission; fuente_presentación=manual; 1 presentación(es) adicional(es) en Supabase; sku=INS-CEREZA-000313</t>
  </si>
  <si>
    <t>f2f46cdd-497b-46e1-9085-a268fa56a43b</t>
  </si>
  <si>
    <t>Cerveza Coronita</t>
  </si>
  <si>
    <t>Cocteles y alcohol</t>
  </si>
  <si>
    <t>b4f31f59-a124-4e6c-98ae-f0c40f4f304e</t>
  </si>
  <si>
    <t>Six Pack 6 un</t>
  </si>
  <si>
    <t>tipo=venta; área_producción=general; uso_presentación=remission; fuente_presentación=manual; 2 presentación(es) adicional(es) en Supabase; sku=VEN-CERVEZ-000072</t>
  </si>
  <si>
    <t>f9fdd102-1a36-45ea-8482-e4a1cdf2436a</t>
  </si>
  <si>
    <t>Cerveza Heineken</t>
  </si>
  <si>
    <t>6aff2f0e-4403-4760-8a94-234ecf73946b</t>
  </si>
  <si>
    <t>Bandeja 24 un</t>
  </si>
  <si>
    <t>tipo=venta; área_producción=general; uso_presentación=remission; fuente_presentación=supplier_primary; 2 presentación(es) adicional(es) en Supabase; sku=VEN-CERVEZ-000069</t>
  </si>
  <si>
    <t>7a0452f2-3817-4290-b444-ff33ec27b2d2</t>
  </si>
  <si>
    <t>Chai latte</t>
  </si>
  <si>
    <t>tipo=venta; área_producción=general; sku=VEN-CHAILA-000963</t>
  </si>
  <si>
    <t>c24b7e5b-f12d-4f42-9804-b2a7f49bcb61</t>
  </si>
  <si>
    <t>Chai Latte Caliente</t>
  </si>
  <si>
    <t>tipo=venta; área_producción=general; sku=VEN-CHAILA-000696</t>
  </si>
  <si>
    <t>2d18dcce-e90f-4ab3-8879-59f66ab0ca70</t>
  </si>
  <si>
    <t>Chai latte frio</t>
  </si>
  <si>
    <t>tipo=venta; área_producción=general; sku=VEN-CHAILA-000959</t>
  </si>
  <si>
    <t>f2a703e3-eba7-4e67-950e-754deee854ac</t>
  </si>
  <si>
    <t>Chai Latte Frío</t>
  </si>
  <si>
    <t>tipo=venta; área_producción=general; sku=VEN-CHAILA-000697</t>
  </si>
  <si>
    <t>6b9bea3e-1716-4c2e-81d2-27d374c23d5f</t>
  </si>
  <si>
    <t>Champiñones</t>
  </si>
  <si>
    <t>deafbfbb-e4c4-4675-a5c5-adaf9e17b590</t>
  </si>
  <si>
    <t>Bandeja de 1 kg</t>
  </si>
  <si>
    <t>tipo=insumo; área_producción=general; uso_presentación=remission; fuente_presentación=manual; 1 presentación(es) adicional(es) en Supabase; sku=INS-CHAMPI-000114</t>
  </si>
  <si>
    <t>82353e2d-e875-4e07-adff-99393df41ee7</t>
  </si>
  <si>
    <t>Champiñones Salteados</t>
  </si>
  <si>
    <t>tipo=preparacion; área_producción=general; sku=PRE-CHAMPI-000893</t>
  </si>
  <si>
    <t>66380d91-884a-415f-8beb-d61a7e67bcec</t>
  </si>
  <si>
    <t>Cheese rolls</t>
  </si>
  <si>
    <t>tipo=venta; área_producción=general; sku=VEN-CHEESE-000876</t>
  </si>
  <si>
    <t>b70b4d16-06e1-4f4b-a29e-d89a0e499ae6</t>
  </si>
  <si>
    <t>Cheeseburguer</t>
  </si>
  <si>
    <t>Sanduches, wraps y tostadas</t>
  </si>
  <si>
    <t>tipo=venta; área_producción=general; sku=VEN-CHEESE-000766</t>
  </si>
  <si>
    <t>ef0d8c87-ce73-4584-bb9b-eadfaeadcb1e</t>
  </si>
  <si>
    <t>Chicken &amp; Waffles</t>
  </si>
  <si>
    <t>tipo=venta; área_producción=general; sku=VEN-CHICKE-000750</t>
  </si>
  <si>
    <t>224f1f65-81ae-4b07-b0fb-42dc123eafc7</t>
  </si>
  <si>
    <t>Chimichurri</t>
  </si>
  <si>
    <t>bbb01d51-f419-426e-9d2a-6934be8d51d0</t>
  </si>
  <si>
    <t>tipo=preparacion; área_producción=general; uso_presentación=remission; fuente_presentación=manual; sku=PRE-CHIMIC-000221</t>
  </si>
  <si>
    <t>e6a21042-1df7-457b-a6fe-568bfe9457e2</t>
  </si>
  <si>
    <t>Chips Chocolate Oscuro</t>
  </si>
  <si>
    <t>Chocolatería</t>
  </si>
  <si>
    <t>3a12698d-b85b-41c6-aa60-c7f8c3664c7f</t>
  </si>
  <si>
    <t>Caja de 10 kg</t>
  </si>
  <si>
    <t>tipo=insumo; área_producción=general; uso_presentación=general; fuente_presentación=manual; 1 presentación(es) adicional(es) en Supabase; sku=INS-CHIPSC-000419</t>
  </si>
  <si>
    <t>2989283d-8d40-430c-ad57-09aef0cceb92</t>
  </si>
  <si>
    <t>Chips de Chocolate Blanco Cordillera</t>
  </si>
  <si>
    <t>5150cce8-6b8a-4d15-9192-104bf9478471</t>
  </si>
  <si>
    <t>tipo=insumo; área_producción=general; uso_presentación=general; fuente_presentación=manual; 1 presentación(es) adicional(es) en Supabase; sku=INS-CHIPSD-000584</t>
  </si>
  <si>
    <t>9f3b685a-b3cb-420b-a40d-cb7720512e38</t>
  </si>
  <si>
    <t>Chips de Colores Tuti Fruti</t>
  </si>
  <si>
    <t>Decoración Comestible</t>
  </si>
  <si>
    <t>775ebe2c-52fa-4699-bea3-f45ec6074d22</t>
  </si>
  <si>
    <t>tipo=insumo; área_producción=general; uso_presentación=general; fuente_presentación=manual; 1 presentación(es) adicional(es) en Supabase; sku=INS-CHIPSD-000589</t>
  </si>
  <si>
    <t>49db7f00-56c6-48e5-b420-0cafef1786b1</t>
  </si>
  <si>
    <t>Choco Bites</t>
  </si>
  <si>
    <t>tipo=venta; área_producción=general; sku=VEN-CHOCOB-000927</t>
  </si>
  <si>
    <t>523393df-f98a-4932-87e6-7b93b0ebd17e</t>
  </si>
  <si>
    <t>Chocobites</t>
  </si>
  <si>
    <t>tipo=venta; área_producción=general; sku=VEN-CHOCOB-000900</t>
  </si>
  <si>
    <t>68bda8c4-b408-4308-bc52-e9c83b6446ad</t>
  </si>
  <si>
    <t>Chocolate Blanco</t>
  </si>
  <si>
    <t>d59269c8-230b-4220-8a55-35e7fbe788f3</t>
  </si>
  <si>
    <t>tipo=insumo; área_producción=general; uso_presentación=general; fuente_presentación=manual; 2 presentación(es) adicional(es) en Supabase; sku=INS-CHOCOL-000417</t>
  </si>
  <si>
    <t>f18e96a9-f524-4f51-b6b6-62a2fa86c816</t>
  </si>
  <si>
    <t>Chocolate Caliente</t>
  </si>
  <si>
    <t>tipo=venta; área_producción=general; sku=VEN-CHOCOL-000693</t>
  </si>
  <si>
    <t>92fe470e-bd50-4539-8588-3403ce9949e4</t>
  </si>
  <si>
    <t>Chocolate Corona Instantáneo</t>
  </si>
  <si>
    <t>cd8e030f-3a84-4735-81c7-54862331b6df</t>
  </si>
  <si>
    <t>tipo=insumo; área_producción=general; uso_presentación=remission; fuente_presentación=manual; 2 presentación(es) adicional(es) en Supabase; sku=INS-CHOCOL-000474</t>
  </si>
  <si>
    <t>0fb5b034-dec0-4600-a584-2e835cd2400b</t>
  </si>
  <si>
    <t>Chocolate moneda blanca 1k</t>
  </si>
  <si>
    <t>b0211bcb-f341-4a55-ab69-2a8e8cefa9c7</t>
  </si>
  <si>
    <t>tipo=insumo; área_producción=general; uso_presentación=purchase; fuente_presentación=supplier_primary; sku=INS-CHOCOL-000639</t>
  </si>
  <si>
    <t>7f7d8173-ad62-45ab-ae9d-648050608375</t>
  </si>
  <si>
    <t>Chocolate Negro 46%</t>
  </si>
  <si>
    <t>e6b351d7-91cd-4001-802a-b28e7bc41e4b</t>
  </si>
  <si>
    <t>tipo=insumo; área_producción=general; uso_presentación=general; fuente_presentación=manual; 1 presentación(es) adicional(es) en Supabase; sku=INS-CHOCOL-000414</t>
  </si>
  <si>
    <t>e516d3fb-06e6-4899-9f59-ab4c58010491</t>
  </si>
  <si>
    <t>Chocolate Semi-Amargo 53%</t>
  </si>
  <si>
    <t>29df6960-8709-4686-8693-e5da8604b6e3</t>
  </si>
  <si>
    <t>tipo=insumo; área_producción=general; uso_presentación=general; fuente_presentación=manual; 1 presentación(es) adicional(es) en Supabase; sku=INS-CHOCOL-000607</t>
  </si>
  <si>
    <t>74f02588-7999-45d6-9d27-8154ac7389d0</t>
  </si>
  <si>
    <t>Chocolate Sucedanio de Leche</t>
  </si>
  <si>
    <t>8bb34904-b398-45da-b423-704e4f4857b3</t>
  </si>
  <si>
    <t>tipo=insumo; área_producción=general; uso_presentación=general; fuente_presentación=manual; 1 presentación(es) adicional(es) en Supabase; sku=INS-CHOCOL-000603</t>
  </si>
  <si>
    <t>b182d4de-96e8-48e1-9b70-54a02860da97</t>
  </si>
  <si>
    <t>Chocolate Sucedanio Oscuro</t>
  </si>
  <si>
    <t>31d43694-988c-4e12-a1cd-1e137df962ff</t>
  </si>
  <si>
    <t>Caja de 20 kg</t>
  </si>
  <si>
    <t>tipo=insumo; área_producción=general; uso_presentación=general; fuente_presentación=manual; 1 presentación(es) adicional(es) en Supabase; sku=INS-CHOCOL-000418</t>
  </si>
  <si>
    <t>29e965f6-0751-4554-8f1f-ba8745c57701</t>
  </si>
  <si>
    <t>Chocolisto</t>
  </si>
  <si>
    <t>8b8a7d69-9f62-433e-aa8c-bbce7fa8231c</t>
  </si>
  <si>
    <t>Bolsa de 2 kg</t>
  </si>
  <si>
    <t>tipo=insumo; área_producción=general; uso_presentación=remission; fuente_presentación=manual; 2 presentación(es) adicional(es) en Supabase; sku=INS-CHOCOL-000314</t>
  </si>
  <si>
    <t>cc8ab41d-4310-4995-b377-a56e7b25eba5</t>
  </si>
  <si>
    <t>Chorizitos Glaseados</t>
  </si>
  <si>
    <t>tipo=venta; área_producción=general; sku=VEN-CHORIZ-000732</t>
  </si>
  <si>
    <t>13525b36-8f35-4a09-8c21-c5a21c9d154e</t>
  </si>
  <si>
    <t>Chorizo Coctelero</t>
  </si>
  <si>
    <t>Charcutería y Embutidos (Pizzería/Sandwichería)</t>
  </si>
  <si>
    <t>20908547-2b0f-452a-a200-a5a453f78d2a</t>
  </si>
  <si>
    <t>tipo=insumo; área_producción=general; uso_presentación=remission; fuente_presentación=manual; 2 presentación(es) adicional(es) en Supabase; sku=INS-CHORIZ-000199</t>
  </si>
  <si>
    <t>5db9eeab-548f-4989-80b0-9611ff918dad</t>
  </si>
  <si>
    <t>Chorizo Santarrozano</t>
  </si>
  <si>
    <t>1a872f91-4914-436a-9577-fbc3ee6306a3</t>
  </si>
  <si>
    <t>Paquete de 8 un</t>
  </si>
  <si>
    <t>tipo=insumo; área_producción=general; uso_presentación=remission; fuente_presentación=manual; 3 presentación(es) adicional(es) en Supabase; sku=INS-CHORIZ-000013</t>
  </si>
  <si>
    <t>57431650-56d2-4caa-acd8-e3eae91f3cb7</t>
  </si>
  <si>
    <t>Claras de huevo</t>
  </si>
  <si>
    <t>Batidos, tempuras y rebozados</t>
  </si>
  <si>
    <t>tipo=preparacion; área_producción=general; sku=PRE-CLARAS-000240</t>
  </si>
  <si>
    <t>6fe2a298-aa65-4fcd-9aad-bbab99f286a5</t>
  </si>
  <si>
    <t>Cloro</t>
  </si>
  <si>
    <t>23a67a66-e7da-41bf-9813-d70a4b2b577b</t>
  </si>
  <si>
    <t>Pote 2 l</t>
  </si>
  <si>
    <t>tipo=insumo; área_producción=general; uso_presentación=remission; fuente_presentación=manual; 1 presentación(es) adicional(es) en Supabase; sku=INS-CLORO-000158</t>
  </si>
  <si>
    <t>8ef62af2-c488-4e60-8279-2e68682eea38</t>
  </si>
  <si>
    <t>Coca Cola Original</t>
  </si>
  <si>
    <t>ac9add44-86ab-438a-b6f4-e791dd8ac226</t>
  </si>
  <si>
    <t>Bandeja 12 un</t>
  </si>
  <si>
    <t>tipo=venta; área_producción=general; uso_presentación=remission; fuente_presentación=manual; 2 presentación(es) adicional(es) en Supabase; sku=VEN-COCACO-000005</t>
  </si>
  <si>
    <t>cf3c5e31-17c4-4aaf-b456-b69efc6e8f1a</t>
  </si>
  <si>
    <t>Coca Cola Pet</t>
  </si>
  <si>
    <t>effde722-9352-4ce0-bc4a-b8facaa79dbd</t>
  </si>
  <si>
    <t>Botella de 400 ml</t>
  </si>
  <si>
    <t>tipo=insumo; área_producción=general; uso_presentación=remission; fuente_presentación=manual; 2 presentación(es) adicional(es) en Supabase; sku=INS-COCACO-000007</t>
  </si>
  <si>
    <t>c29cd6ec-3bdb-4495-aebc-6ed5d6051ad4</t>
  </si>
  <si>
    <t>Coca Cola Zero</t>
  </si>
  <si>
    <t>316925e2-5f2e-4c0b-b8df-9781dc4969db</t>
  </si>
  <si>
    <t>tipo=venta; área_producción=general; uso_presentación=remission; fuente_presentación=manual; 2 presentación(es) adicional(es) en Supabase; sku=VEN-COCACO-000006</t>
  </si>
  <si>
    <t>2832b193-af6e-46f5-8d73-1b7051e6c105</t>
  </si>
  <si>
    <t>Coco</t>
  </si>
  <si>
    <t>e414574f-de9c-4acc-8b1c-025fda8a6e75</t>
  </si>
  <si>
    <t>tipo=insumo; área_producción=general; uso_presentación=general; fuente_presentación=manual; 1 presentación(es) adicional(es) en Supabase; sku=INS-COCO-000050</t>
  </si>
  <si>
    <t>6b9434c4-38b1-4270-87fc-41f449aec25f</t>
  </si>
  <si>
    <t>Coco deshidratado 500gr</t>
  </si>
  <si>
    <t>Toppings, crumbles y decoraciones</t>
  </si>
  <si>
    <t>tipo=preparacion; área_producción=general; sku=PRE-COCODE-000250</t>
  </si>
  <si>
    <t>45ce1c01-5c65-4f9c-846f-0caa5aa7ae76</t>
  </si>
  <si>
    <t>Coco Rallado</t>
  </si>
  <si>
    <t>4e21ffac-cd8d-4b0b-89a5-ccb4cf0a5ff4</t>
  </si>
  <si>
    <t>tipo=insumo; área_producción=general; uso_presentación=remission; fuente_presentación=manual; 1 presentación(es) adicional(es) en Supabase; sku=INS-COCORA-000315</t>
  </si>
  <si>
    <t>f8e0ca07-b4bc-4dd5-a8f2-06b73daf0252</t>
  </si>
  <si>
    <t>Cocoa Natural en Polvo</t>
  </si>
  <si>
    <t>7d7fcd91-c6c1-4960-b293-b5fa603ad66f</t>
  </si>
  <si>
    <t>tipo=insumo; área_producción=general; uso_presentación=general; fuente_presentación=manual; 1 presentación(es) adicional(es) en Supabase; sku=INS-COCOAN-000590</t>
  </si>
  <si>
    <t>7da9dacb-42e4-4fca-a808-bc32a19acf88</t>
  </si>
  <si>
    <t>Cocoa Superior</t>
  </si>
  <si>
    <t>91af0554-d1d0-45e2-8efc-4fc96c06e4d1</t>
  </si>
  <si>
    <t>tipo=insumo; área_producción=general; uso_presentación=remission; fuente_presentación=manual; 2 presentación(es) adicional(es) en Supabase; sku=INS-COCOAS-000316</t>
  </si>
  <si>
    <t>bd4584cb-3d60-4304-8909-18422bd8aa7e</t>
  </si>
  <si>
    <t>Cofias (Gorro de Cabello)</t>
  </si>
  <si>
    <t>Herramientas</t>
  </si>
  <si>
    <t>90526b4d-a51d-4748-b74d-41571b9520e6</t>
  </si>
  <si>
    <t>Paquete de 24 un</t>
  </si>
  <si>
    <t>tipo=insumo; área_producción=general; uso_presentación=remission; fuente_presentación=manual; 3 presentación(es) adicional(es) en Supabase; sku=INS-COFIAS-000262</t>
  </si>
  <si>
    <t>010f0a37-0f33-4487-b703-11902de58295</t>
  </si>
  <si>
    <t>COLADOR METÁLICO</t>
  </si>
  <si>
    <t>tipo=insumo; área_producción=general; sku=EQP-COLADO-000794</t>
  </si>
  <si>
    <t>bd8e9e2a-c6e4-4f61-9f82-685e3e9ac4e8</t>
  </si>
  <si>
    <t>COLADOR PEQUE</t>
  </si>
  <si>
    <t>tipo=insumo; área_producción=general; sku=EQP-COLADO-000818</t>
  </si>
  <si>
    <t>a915a16a-ea92-474b-b11e-5eb84b490988</t>
  </si>
  <si>
    <t>COLADOR PEQUEÑO</t>
  </si>
  <si>
    <t>tipo=insumo; área_producción=general; sku=EQP-COLADO-000816</t>
  </si>
  <si>
    <t>26470f91-2e38-470d-9211-f6bca357e7ba</t>
  </si>
  <si>
    <t>Coleslaw</t>
  </si>
  <si>
    <t>9cfe0968-4873-4a20-9a8b-6f43978c83a4</t>
  </si>
  <si>
    <t>tipo=preparacion; área_producción=general; uso_presentación=remission; fuente_presentación=manual; sku=PRE-COLESL-000222</t>
  </si>
  <si>
    <t>de7df240-f977-4670-bce7-6c791528192f</t>
  </si>
  <si>
    <t>Colombiana Pet 400 ml</t>
  </si>
  <si>
    <t>3aeb4558-b491-4a84-ab0e-64f8c5b73e0a</t>
  </si>
  <si>
    <t>tipo=venta; área_producción=general; uso_presentación=remission; fuente_presentación=supplier_primary; 1 presentación(es) adicional(es) en Supabase; sku=VEN-COLOMB-000476</t>
  </si>
  <si>
    <t>1ba7438a-8975-4a6a-a3db-a5d5c120f2be</t>
  </si>
  <si>
    <t>Compresor</t>
  </si>
  <si>
    <t>tipo=insumo; área_producción=general; sku=EQP-COMPRE-000551</t>
  </si>
  <si>
    <t>ef356138-8513-45d6-a0b9-253ceceb5b8a</t>
  </si>
  <si>
    <t>Compresor de aire</t>
  </si>
  <si>
    <t>tipo=insumo; área_producción=general; sku=EQP-COMPRE-000560</t>
  </si>
  <si>
    <t>3c47c22a-bb19-47a1-b7dc-bacf2522c797</t>
  </si>
  <si>
    <t>Compresor de aire portatil</t>
  </si>
  <si>
    <t>tipo=insumo; área_producción=general; sku=EQP-COMPRE-000537</t>
  </si>
  <si>
    <t>dbb32692-f1c6-46b2-9f74-a275c8de48de</t>
  </si>
  <si>
    <t>Computadora multifuncional</t>
  </si>
  <si>
    <t>tipo=insumo; área_producción=general; sku=EQP-COMPUT-000984</t>
  </si>
  <si>
    <t>f27a18b9-4b81-4846-96e5-e21538f49183</t>
  </si>
  <si>
    <t>Confite de Frutos Rojos</t>
  </si>
  <si>
    <t>ac472065-a2ec-4e91-bcb2-08a3a99e0ebb</t>
  </si>
  <si>
    <t>tipo=preparacion; área_producción=general; uso_presentación=remission; fuente_presentación=manual; sku=PRE-CONFIT-000226</t>
  </si>
  <si>
    <t>3c269594-8362-4ffa-bbd1-062570c9846f</t>
  </si>
  <si>
    <t>Congelador horizontal</t>
  </si>
  <si>
    <t>tipo=insumo; área_producción=general; sku=EQP-CONGEL-000931</t>
  </si>
  <si>
    <t>a2bef857-8696-4585-a33a-0a0d7e3d587c</t>
  </si>
  <si>
    <t>congelador horizontal triple</t>
  </si>
  <si>
    <t>tipo=insumo; área_producción=general; sku=EQP-CONGEL-000977</t>
  </si>
  <si>
    <t>c5b1961c-0ae8-4ce0-b6f8-9e16f544b151</t>
  </si>
  <si>
    <t>Congelador vertical 274 litros</t>
  </si>
  <si>
    <t>tipo=insumo; área_producción=general; sku=EQP-CONGEL-000536</t>
  </si>
  <si>
    <t>4c699128-0658-4ee0-83b6-a187a4730e2b</t>
  </si>
  <si>
    <t>Congelador vertical 6 puestos</t>
  </si>
  <si>
    <t>tipo=insumo; área_producción=general; sku=EQP-CONGEL-000535</t>
  </si>
  <si>
    <t>4465297f-65c1-41af-ab68-db52c08ad627</t>
  </si>
  <si>
    <t>Conos</t>
  </si>
  <si>
    <t>eafef299-09a3-4eff-a1fb-28a51fcdc4c0</t>
  </si>
  <si>
    <t>Bolsa</t>
  </si>
  <si>
    <t>tipo=insumo; área_producción=general; uso_presentación=remission; fuente_presentación=manual; 2 presentación(es) adicional(es) en Supabase; sku=INS-CONOS-000329</t>
  </si>
  <si>
    <t>b730b55a-36ff-4fa9-a241-3b4339fd41fd</t>
  </si>
  <si>
    <t>Cookie Chef</t>
  </si>
  <si>
    <t>7129fed9-e839-47a9-b765-c10ff0f3913c</t>
  </si>
  <si>
    <t>tipo=venta; área_producción=general; uso_presentación=remission; fuente_presentación=manual; sku=VEN-COOKIE-000370</t>
  </si>
  <si>
    <t>6379d97e-9362-4e1d-8016-94ad8ec44d5b</t>
  </si>
  <si>
    <t>COPA METAL VINO</t>
  </si>
  <si>
    <t>tipo=insumo; área_producción=general; sku=EQP-COPAME-000780</t>
  </si>
  <si>
    <t>02f60f26-37c0-4fc6-a170-51c2b7fce8c6</t>
  </si>
  <si>
    <t>CORTADOR PIZZA</t>
  </si>
  <si>
    <t>tipo=insumo; área_producción=general; sku=EQP-CORTAD-000824</t>
  </si>
  <si>
    <t>e189d7f0-939a-439f-a145-13631ca19f8a</t>
  </si>
  <si>
    <t>CORTADOR PIZZA Kitchenstar</t>
  </si>
  <si>
    <t>tipo=insumo; área_producción=general; sku=EQP-CORTAD-000835</t>
  </si>
  <si>
    <t>9c6d2d91-ed62-4930-a234-77fb8f40f1c9</t>
  </si>
  <si>
    <t>Cortadora</t>
  </si>
  <si>
    <t>tipo=insumo; área_producción=general; sku=EQP-CORTAD-000555</t>
  </si>
  <si>
    <t>614569cc-8eab-4a0b-a117-de69ab082086</t>
  </si>
  <si>
    <t>Cosina 6 hornillas</t>
  </si>
  <si>
    <t>tipo=insumo; área_producción=general; sku=EQP-COSINA-000541</t>
  </si>
  <si>
    <t>af413d72-d255-47a3-ace8-d23ddf46f12c</t>
  </si>
  <si>
    <t>Cosina una hornilla</t>
  </si>
  <si>
    <t>tipo=insumo; área_producción=general; sku=EQP-COSINA-000558</t>
  </si>
  <si>
    <t>18530d1d-0fc5-41c9-b1a7-7caaea298ed8</t>
  </si>
  <si>
    <t>Costilla carnuda</t>
  </si>
  <si>
    <t>cfb5e150-69a8-44f6-a96d-5b8777003019</t>
  </si>
  <si>
    <t>tipo=insumo; área_producción=general; uso_presentación=purchase; fuente_presentación=supplier_primary; sku=INS-COSTIL-000655</t>
  </si>
  <si>
    <t>3eb9a2b8-4f62-4013-935e-ecd29f3f8618</t>
  </si>
  <si>
    <t>Costillas 400gr</t>
  </si>
  <si>
    <t>Mise en place de proteína</t>
  </si>
  <si>
    <t>ccbe5a63-c433-40f9-a8c8-9819b612e82c</t>
  </si>
  <si>
    <t>tipo=preparacion; área_producción=general; uso_presentación=remission; fuente_presentación=manual; sku=PRE-COSTIL-000223</t>
  </si>
  <si>
    <t>c426a3ec-ed72-4db3-a5aa-96d9409115ba</t>
  </si>
  <si>
    <t>Costillas al Vacío</t>
  </si>
  <si>
    <t>tipo=venta; área_producción=general; sku=VEN-COSTIL-000752</t>
  </si>
  <si>
    <t>2c3f28b8-f9eb-4b08-bd78-3eda0b4e6dc1</t>
  </si>
  <si>
    <t>Crema Chantilly en Polvo</t>
  </si>
  <si>
    <t>8d71894c-164a-46f2-ae3a-916e8cb51b86</t>
  </si>
  <si>
    <t>tipo=insumo; área_producción=general; uso_presentación=general; fuente_presentación=manual; 1 presentación(es) adicional(es) en Supabase; sku=INS-CREMAC-000587</t>
  </si>
  <si>
    <t>3c16e3e2-626a-446c-910f-327e6aa82510</t>
  </si>
  <si>
    <t>Crema de Leche</t>
  </si>
  <si>
    <t>Leches y Cremas</t>
  </si>
  <si>
    <t>7b1d2144-32a9-4511-9aa7-f71e850924fb</t>
  </si>
  <si>
    <t>Bolsa de 870 g</t>
  </si>
  <si>
    <t>tipo=insumo; área_producción=general; uso_presentación=remission; fuente_presentación=manual; 2 presentación(es) adicional(es) en Supabase; sku=INS-CREMAD-000352</t>
  </si>
  <si>
    <t>8b47f020-b3db-4119-a985-38ce64ceeb4a</t>
  </si>
  <si>
    <t>Crema de Pistacho</t>
  </si>
  <si>
    <t>Cremas y rellenos dulces</t>
  </si>
  <si>
    <t>tipo=preparacion; área_producción=general; sku=PRE-CREMAD-000336</t>
  </si>
  <si>
    <t>36f54474-01e8-4d4e-ae52-8918aeebb212</t>
  </si>
  <si>
    <t>Crema de Queso Azul</t>
  </si>
  <si>
    <t>tipo=preparacion; área_producción=general; sku=PRE-CREMAD-000426</t>
  </si>
  <si>
    <t>c52c568e-8cba-4e4e-b3b8-1b4f0a1ca813</t>
  </si>
  <si>
    <t>Crema de Whisky</t>
  </si>
  <si>
    <t>67bc212b-b782-45cf-9545-7e9c9b30428d</t>
  </si>
  <si>
    <t>tipo=insumo; área_producción=general; uso_presentación=remission; fuente_presentación=manual; 2 presentación(es) adicional(es) en Supabase; sku=INS-CREMAD-000290</t>
  </si>
  <si>
    <t>3a454caa-f772-4540-9489-335fd180a71b</t>
  </si>
  <si>
    <t>Crema Pastelera de Coco</t>
  </si>
  <si>
    <t>tipo=preparacion; área_producción=general; sku=PRE-CREMAP-000528</t>
  </si>
  <si>
    <t>fa7c5f99-d2dc-4cab-9fca-adcffdd1be87</t>
  </si>
  <si>
    <t>Croissant Clásico</t>
  </si>
  <si>
    <t>tipo=venta; área_producción=general; sku=VEN-CROISS-000101</t>
  </si>
  <si>
    <t>03411cad-2708-4f35-88d5-06c672105191</t>
  </si>
  <si>
    <t>Croissant de Almendras</t>
  </si>
  <si>
    <t>2a7b4879-2761-4186-936a-6428c6a3c19b</t>
  </si>
  <si>
    <t>tipo=venta; área_producción=general; uso_presentación=remission; fuente_presentación=manual; sku=VEN-CROISS-000390</t>
  </si>
  <si>
    <t>f997a1ba-76d5-47c8-b97f-0395d893f651</t>
  </si>
  <si>
    <t>Croissant de Jamón &amp; Queso</t>
  </si>
  <si>
    <t>tipo=venta; área_producción=general; sku=VEN-CROISS-000626</t>
  </si>
  <si>
    <t>6852d575-3cd5-47df-9807-449f4bd02472</t>
  </si>
  <si>
    <t>Croissant de Nutella</t>
  </si>
  <si>
    <t>78f27894-4198-4e84-977c-947e908f8148</t>
  </si>
  <si>
    <t>tipo=venta; área_producción=general; uso_presentación=remission; fuente_presentación=manual; sku=VEN-CROISS-000391</t>
  </si>
  <si>
    <t>a9c06416-bc74-44e0-935b-b882863186bb</t>
  </si>
  <si>
    <t>Croissant de Pistacho</t>
  </si>
  <si>
    <t>5044d2f6-016c-4a7a-a825-577f964b6a31</t>
  </si>
  <si>
    <t>tipo=venta; área_producción=general; uso_presentación=remission; fuente_presentación=manual; sku=VEN-CROISS-000392</t>
  </si>
  <si>
    <t>bf36c39f-25fe-40c1-b258-8c53a6dac7d5</t>
  </si>
  <si>
    <t>Croissant de Queso</t>
  </si>
  <si>
    <t>tipo=venta; área_producción=general; sku=VEN-CROISS-000625</t>
  </si>
  <si>
    <t>e5d0fa9e-e6df-4867-a75d-40bef09b1a2b</t>
  </si>
  <si>
    <t>Croissant Toast</t>
  </si>
  <si>
    <t>1f7fe58d-3e37-4658-851d-4a6bf00e6579</t>
  </si>
  <si>
    <t>tipo=venta; área_producción=general; uso_presentación=remission; fuente_presentación=manual; sku=VEN-CROISS-000395</t>
  </si>
  <si>
    <t>737702f3-552a-4fd9-9a6c-8b97bb0f53b7</t>
  </si>
  <si>
    <t>Crumble de Vainilla</t>
  </si>
  <si>
    <t>tipo=preparacion; área_producción=general; sku=PRE-CRUMBL-000204</t>
  </si>
  <si>
    <t>f1f0f500-027d-4432-bc2b-28abc14fe693</t>
  </si>
  <si>
    <t>Cuarto congelacion</t>
  </si>
  <si>
    <t>tipo=insumo; área_producción=general; sku=EQP-CUARTO-000576</t>
  </si>
  <si>
    <t>9d65a7f7-c517-4ccd-a7fc-90a7e2a0c973</t>
  </si>
  <si>
    <t>Cuarto refrigeracion</t>
  </si>
  <si>
    <t>tipo=insumo; área_producción=general; sku=EQP-CUARTO-000577</t>
  </si>
  <si>
    <t>298ca969-6d4b-4d7d-9045-a59ad4ef0e62</t>
  </si>
  <si>
    <t>Cuchara</t>
  </si>
  <si>
    <t>tipo=insumo; área_producción=general; sku=EQP-CUCHAR-000811</t>
  </si>
  <si>
    <t>f7561546-f631-45a6-9b9c-a3bc89b28010</t>
  </si>
  <si>
    <t>Cuchara bar</t>
  </si>
  <si>
    <t>tipo=insumo; área_producción=general; sku=EQP-CUCHAR-000807</t>
  </si>
  <si>
    <t>4d220fb6-0cf9-4c9a-9dce-9b4632166464</t>
  </si>
  <si>
    <t>Cuchara de Palo</t>
  </si>
  <si>
    <t>Cubiertos Desechables</t>
  </si>
  <si>
    <t>20b828ec-4bbc-47a8-9969-d386544cbd26</t>
  </si>
  <si>
    <t>tipo=insumo; área_producción=general; uso_presentación=remission; fuente_presentación=manual; 2 presentación(es) adicional(es) en Supabase; sku=INS-CUCHAR-000343</t>
  </si>
  <si>
    <t>14915a17-e3c9-4e71-b3ec-29bb20639ddf</t>
  </si>
  <si>
    <t>CUCHARA POSTRE</t>
  </si>
  <si>
    <t>tipo=insumo; área_producción=general; sku=EQP-CUCHAR-000806</t>
  </si>
  <si>
    <t>77b6390b-b264-4d19-b79f-c7fde71ad1b1</t>
  </si>
  <si>
    <t>CUCHARA TENEDOR</t>
  </si>
  <si>
    <t>tipo=insumo; área_producción=general; sku=EQP-CUCHAR-000808</t>
  </si>
  <si>
    <t>e678b2d9-61cd-4eff-82d3-ddf14f81383d</t>
  </si>
  <si>
    <t>Cuchareable de galleta</t>
  </si>
  <si>
    <t>tipo=venta; área_producción=general; sku=VEN-CUCHAR-000945</t>
  </si>
  <si>
    <t>ef55719d-69c9-45ba-9cb5-7f51c28310c7</t>
  </si>
  <si>
    <t>Cuchareable de Leche Kilm</t>
  </si>
  <si>
    <t>8bcbaba4-75e2-4698-a450-ebab86e7c908</t>
  </si>
  <si>
    <t>tipo=venta; área_producción=general; uso_presentación=remission; fuente_presentación=manual; sku=VEN-CUCHAR-000469</t>
  </si>
  <si>
    <t>99e22280-b613-478c-afb0-15b1914305cf</t>
  </si>
  <si>
    <t>Cuchareable Red Velvet</t>
  </si>
  <si>
    <t>tipo=venta; área_producción=general; sku=VEN-CUCHAR-000944</t>
  </si>
  <si>
    <t>8a4ae3e3-8631-4d72-bbba-c52125dbbfa4</t>
  </si>
  <si>
    <t>Cuchareable Tres Leches</t>
  </si>
  <si>
    <t>3fd1c7cc-a990-4fc7-9ddc-ffab79dd6bbf</t>
  </si>
  <si>
    <t>tipo=venta; área_producción=general; uso_presentación=remission; fuente_presentación=manual; sku=VEN-CUCHAR-000468</t>
  </si>
  <si>
    <t>7480f974-6363-43fb-a04d-30ccdb727fa9</t>
  </si>
  <si>
    <t>CUCHARON</t>
  </si>
  <si>
    <t>tipo=insumo; área_producción=general; sku=EQP-CUCHAR-000815</t>
  </si>
  <si>
    <t>c39242cc-7cd0-47cd-94b0-eca90aaa641a</t>
  </si>
  <si>
    <t>Cuchillo</t>
  </si>
  <si>
    <t>tipo=insumo; área_producción=general; sku=EQP-CUCHIL-000810</t>
  </si>
  <si>
    <t>c67a7fa9-f537-4e59-a612-9f32b9280314</t>
  </si>
  <si>
    <t>CUCHILLO GRANDE</t>
  </si>
  <si>
    <t>tipo=insumo; área_producción=general; sku=EQP-CUCHIL-000839</t>
  </si>
  <si>
    <t>deef4ce7-c1d7-427f-914a-077c88340dea</t>
  </si>
  <si>
    <t>Cuchillo mantequilla</t>
  </si>
  <si>
    <t>tipo=insumo; área_producción=general; sku=EQP-CUCHIL-000805</t>
  </si>
  <si>
    <t>498caa80-7e37-4bef-aae1-6572a8a0a7fb</t>
  </si>
  <si>
    <t>CUCHILLO PEQUEÑO</t>
  </si>
  <si>
    <t>tipo=insumo; área_producción=general; sku=EQP-CUCHIL-000831</t>
  </si>
  <si>
    <t>d7809b42-af4e-41a2-9ee3-844374106e11</t>
  </si>
  <si>
    <t>CUCHILLO PEQUEÑO SAUDO</t>
  </si>
  <si>
    <t>tipo=insumo; área_producción=general; sku=EQP-CUCHIL-000848</t>
  </si>
  <si>
    <t>43433dee-f492-4c97-8aae-00ca93eae017</t>
  </si>
  <si>
    <t>CUCHILLO SIERRA</t>
  </si>
  <si>
    <t>tipo=insumo; área_producción=general; sku=EQP-CUCHIL-000841</t>
  </si>
  <si>
    <t>06114605-0ba9-4ad4-824d-7839de6afc24</t>
  </si>
  <si>
    <t>DecorCream Blanco</t>
  </si>
  <si>
    <t>818b4dce-17c5-4de5-aec7-ae43cb0cbd9b</t>
  </si>
  <si>
    <t>Pote de 4 kg</t>
  </si>
  <si>
    <t>tipo=insumo; área_producción=general; uso_presentación=general; fuente_presentación=manual; 1 presentación(es) adicional(es) en Supabase; sku=INS-DECORC-000604</t>
  </si>
  <si>
    <t>82fd8419-adc3-4c93-beb7-42cd38d1798e</t>
  </si>
  <si>
    <t>DecorCream Negro</t>
  </si>
  <si>
    <t>8189c249-5230-42de-88df-7fe73cd7e47d</t>
  </si>
  <si>
    <t>Pote de 1 kg</t>
  </si>
  <si>
    <t>tipo=insumo; área_producción=general; uso_presentación=general; fuente_presentación=manual; 2 presentación(es) adicional(es) en Supabase; sku=INS-DECORC-000595</t>
  </si>
  <si>
    <t>313ee628-ada6-4108-80b0-de7682676400</t>
  </si>
  <si>
    <t>Desengrasante</t>
  </si>
  <si>
    <t>Cocina</t>
  </si>
  <si>
    <t>6cbc47b4-ea0a-4164-b786-9689ceb58f21</t>
  </si>
  <si>
    <t>Pote de 1 litro</t>
  </si>
  <si>
    <t>tipo=insumo; área_producción=general; uso_presentación=remission; fuente_presentación=manual; 2 presentación(es) adicional(es) en Supabase; sku=INS-DESENG-000159</t>
  </si>
  <si>
    <t>c7111ef2-7a39-4531-bc6b-df04d9fb9c1f</t>
  </si>
  <si>
    <t>Desengrasante de Plancha</t>
  </si>
  <si>
    <t>4380db16-b4f3-42f1-871d-4409169ba3f3</t>
  </si>
  <si>
    <t>tipo=insumo; área_producción=general; uso_presentación=remission; fuente_presentación=manual; 1 presentación(es) adicional(es) en Supabase; sku=INS-DESENG-000258</t>
  </si>
  <si>
    <t>d8f832f5-c01f-48ea-9fe6-13cb1994864a</t>
  </si>
  <si>
    <t>DESTAPADOR</t>
  </si>
  <si>
    <t>tipo=insumo; área_producción=general; sku=EQP-DESTAP-000822</t>
  </si>
  <si>
    <t>573438c9-78bf-44cb-af63-7dd2964ef2e3</t>
  </si>
  <si>
    <t>DESTAPADOR CON SACACORCHO</t>
  </si>
  <si>
    <t>tipo=insumo; área_producción=general; sku=EQP-DESTAP-000823</t>
  </si>
  <si>
    <t>e18a0219-c29a-48aa-9a1f-65eb6d322a17</t>
  </si>
  <si>
    <t>Dextrosa</t>
  </si>
  <si>
    <t>71676519-5309-462b-8605-de4ec0b47afc</t>
  </si>
  <si>
    <t>tipo=insumo; área_producción=general; uso_presentación=general; fuente_presentación=manual; 1 presentación(es) adicional(es) en Supabase; sku=INS-DEXTRO-000299</t>
  </si>
  <si>
    <t>6af8682b-adc0-443a-9c3b-2d1c18119e2e</t>
  </si>
  <si>
    <t>DISPENSADOR ACEITES</t>
  </si>
  <si>
    <t>tipo=insumo; área_producción=general; sku=EQP-DISPEN-000845</t>
  </si>
  <si>
    <t>449a2b73-0c98-4e48-8269-c298519bf429</t>
  </si>
  <si>
    <t>Durazno</t>
  </si>
  <si>
    <t>16e4e3a5-e2d2-4184-97d8-2aa1283409ad</t>
  </si>
  <si>
    <t>tipo=insumo; área_producción=general; uso_presentación=general; fuente_presentación=manual; 1 presentación(es) adicional(es) en Supabase; sku=INS-DURAZN-000051</t>
  </si>
  <si>
    <t>2e40d6d1-faf2-4c77-912b-47ab58d004eb</t>
  </si>
  <si>
    <t>EMBUDO METÁLICO</t>
  </si>
  <si>
    <t>tipo=insumo; área_producción=general; sku=EQP-EMBUDO-000797</t>
  </si>
  <si>
    <t>7762c54d-24ee-481d-88a8-2e6739d41f13</t>
  </si>
  <si>
    <t>Empacadora vacio</t>
  </si>
  <si>
    <t>tipo=insumo; área_producción=general; sku=EQP-EMPACA-000530</t>
  </si>
  <si>
    <t>d775850c-3a0f-4d3f-917d-37121d45717c</t>
  </si>
  <si>
    <t>Encendedor</t>
  </si>
  <si>
    <t>561e39b5-2ac6-4df5-a313-0d329cd0369e</t>
  </si>
  <si>
    <t>tipo=insumo; área_producción=general; uso_presentación=remission; fuente_presentación=manual; 1 presentación(es) adicional(es) en Supabase; sku=INS-ENCEND-000261</t>
  </si>
  <si>
    <t>a9dad08d-500f-4f6c-9f3b-f110a2a79fe9</t>
  </si>
  <si>
    <t>Enfriador vertical</t>
  </si>
  <si>
    <t>tipo=insumo; área_producción=general; sku=EQP-ENFRIA-000531</t>
  </si>
  <si>
    <t>19ef7b56-03fe-4218-8fc0-a7c51f2ba7c6</t>
  </si>
  <si>
    <t>Ensalada Baby Mix</t>
  </si>
  <si>
    <t>Hojas Verdes</t>
  </si>
  <si>
    <t>bf55b5f9-0cb1-463c-82a5-0a086f089ddb</t>
  </si>
  <si>
    <t>Caja de 150 g</t>
  </si>
  <si>
    <t>tipo=insumo; área_producción=general; uso_presentación=remission; fuente_presentación=manual; 2 presentación(es) adicional(es) en Supabase; sku=INS-ENSALA-000014</t>
  </si>
  <si>
    <t>876e68ea-2a5a-48b6-a94f-af29315bd7b7</t>
  </si>
  <si>
    <t>Ensalada Cobb</t>
  </si>
  <si>
    <t>Ensaladas y bowls</t>
  </si>
  <si>
    <t>tipo=venta; área_producción=general; sku=VEN-ENSALA-000758</t>
  </si>
  <si>
    <t>b6e9c59a-d03b-44bb-8a6d-1f868a187ae3</t>
  </si>
  <si>
    <t>Ensalada de Quinoa &amp; Feta</t>
  </si>
  <si>
    <t>tipo=venta; área_producción=general; sku=VEN-ENSALA-000759</t>
  </si>
  <si>
    <t>62e435a4-e0cc-4c2e-aa55-71b73deb63c3</t>
  </si>
  <si>
    <t>Ensalada Olimpo</t>
  </si>
  <si>
    <t>tipo=venta; área_producción=general; sku=VEN-ENSALA-000756</t>
  </si>
  <si>
    <t>01c84672-ac54-49ae-926b-c3fcc8615d68</t>
  </si>
  <si>
    <t>Ensalada Vento</t>
  </si>
  <si>
    <t>tipo=venta; área_producción=general; sku=VEN-ENSALA-000757</t>
  </si>
  <si>
    <t>d8a23407-56e8-4768-9442-fa1b5a7bb514</t>
  </si>
  <si>
    <t>Escoba con Palo</t>
  </si>
  <si>
    <t>df171587-0920-4963-988e-ffd589dc8770</t>
  </si>
  <si>
    <t>tipo=insumo; área_producción=general; uso_presentación=remission; fuente_presentación=manual; 1 presentación(es) adicional(es) en Supabase; sku=INS-ESCOBA-000259</t>
  </si>
  <si>
    <t>0338517f-56d9-4dd3-bfa9-119c180e0f10</t>
  </si>
  <si>
    <t>Esencia de Vainilla</t>
  </si>
  <si>
    <t>ba1a1466-a0d4-4417-858e-5127bf224cd2</t>
  </si>
  <si>
    <t>Pote de 500 ml</t>
  </si>
  <si>
    <t>tipo=insumo; área_producción=general; uso_presentación=remission; fuente_presentación=manual; 2 presentación(es) adicional(es) en Supabase; sku=INS-ESCENC-000177</t>
  </si>
  <si>
    <t>5bb29848-644d-4f37-b346-6585aeb12364</t>
  </si>
  <si>
    <t>ESPÁTULA</t>
  </si>
  <si>
    <t>tipo=insumo; área_producción=general; sku=EQP-ESPATU-000826</t>
  </si>
  <si>
    <t>ba858854-ed29-4cff-966f-25374876e6c1</t>
  </si>
  <si>
    <t>ESPÁTULA BLANCA</t>
  </si>
  <si>
    <t>tipo=insumo; área_producción=general; sku=EQP-ESPATU-000838</t>
  </si>
  <si>
    <t>dc7f893c-d6eb-4ecc-aad0-5a8a8cdacbf8</t>
  </si>
  <si>
    <t>ESPÁTULA DE PIZZA</t>
  </si>
  <si>
    <t>tipo=insumo; área_producción=general; sku=EQP-ESPATU-000834</t>
  </si>
  <si>
    <t>11d98320-8faf-41d8-b006-29f46b61d978</t>
  </si>
  <si>
    <t>ESPÁTULA GOMA</t>
  </si>
  <si>
    <t>tipo=insumo; área_producción=general; sku=EQP-ESPATU-000830</t>
  </si>
  <si>
    <t>7a88f4c9-69c9-46d3-9439-d347d487944f</t>
  </si>
  <si>
    <t>ESPÁTULA METÁLICA</t>
  </si>
  <si>
    <t>tipo=insumo; área_producción=general; sku=EQP-ESPATU-000817</t>
  </si>
  <si>
    <t>7663a994-fb8b-40fb-8468-50bf442f39a5</t>
  </si>
  <si>
    <t>ESPÁTULA SALSA</t>
  </si>
  <si>
    <t>tipo=insumo; área_producción=general; sku=EQP-ESPATU-000837</t>
  </si>
  <si>
    <t>6a7e84cf-0d3d-471a-a3b7-ae1e03841d07</t>
  </si>
  <si>
    <t>Especial Vento</t>
  </si>
  <si>
    <t>tipo=venta; área_producción=general; sku=VEN-ESPECI-000716</t>
  </si>
  <si>
    <t>2116a787-4307-4371-acd6-0d53b37cb26a</t>
  </si>
  <si>
    <t>Esponja Abrasiva</t>
  </si>
  <si>
    <t>70600113-25cb-4841-ac15-47c786d8d037</t>
  </si>
  <si>
    <t>Paquete de 2 un</t>
  </si>
  <si>
    <t>tipo=insumo; área_producción=general; uso_presentación=remission; fuente_presentación=manual; 2 presentación(es) adicional(es) en Supabase; sku=INS-ESPONJ-000581</t>
  </si>
  <si>
    <t>1b5a5814-ddc2-4bd1-8cf7-0e9437732568</t>
  </si>
  <si>
    <t>Esponja de Lavar</t>
  </si>
  <si>
    <t>e3f2806a-dc46-48a0-8eac-724cd0e41726</t>
  </si>
  <si>
    <t>Esponja</t>
  </si>
  <si>
    <t>tipo=insumo; área_producción=general; uso_presentación=remission; fuente_presentación=manual; 3 presentación(es) adicional(es) en Supabase; sku=INS-ESPONJ-000136</t>
  </si>
  <si>
    <t>836bd981-ab1e-4b57-ab02-7e2016ad67fe</t>
  </si>
  <si>
    <t>Esponjilla de Brillo</t>
  </si>
  <si>
    <t>85ae6e53-1f2c-46b8-b836-f06b625ef6a9</t>
  </si>
  <si>
    <t>tipo=insumo; área_producción=general; uso_presentación=remission; fuente_presentación=manual; 2 presentación(es) adicional(es) en Supabase; sku=INS-ESPONJ-000260</t>
  </si>
  <si>
    <t>84d3ecb7-958b-42da-8a4e-740373685d04</t>
  </si>
  <si>
    <t>Espresso</t>
  </si>
  <si>
    <t>tipo=venta; área_producción=general; sku=VEN-ESPRES-000883</t>
  </si>
  <si>
    <t>978ecbd5-f4c8-415a-9477-899dd71e1bef</t>
  </si>
  <si>
    <t>ESPUMADERA LECHE</t>
  </si>
  <si>
    <t>tipo=insumo; área_producción=general; sku=EQP-ESPUMA-000813</t>
  </si>
  <si>
    <t>9a5cd47c-64a6-4720-81ac-d5ba1823fb5c</t>
  </si>
  <si>
    <t>Estufa a gas 6 puestos</t>
  </si>
  <si>
    <t>tipo=insumo; área_producción=general; sku=EQP-ESTUFA-000935</t>
  </si>
  <si>
    <t>ba8cf3d6-d7d4-4aa8-a29d-c3fec461318c</t>
  </si>
  <si>
    <t>Expandex</t>
  </si>
  <si>
    <t>3b70ad34-65c1-46fb-abe0-2a1697971bb6</t>
  </si>
  <si>
    <t>tipo=insumo; área_producción=general; uso_presentación=purchase; fuente_presentación=supplier_primary; sku=INS-EXPAND-000654</t>
  </si>
  <si>
    <t>4b4c22b9-02b9-48be-9ef9-c4f392276d93</t>
  </si>
  <si>
    <t>Expreso</t>
  </si>
  <si>
    <t>Siropes, concentrados y mixes de barra</t>
  </si>
  <si>
    <t>tipo=preparacion; área_producción=general; sku=PRE-EXPRES-000692</t>
  </si>
  <si>
    <t>57929aff-2404-4517-9b46-2f1ff4cfe4e1</t>
  </si>
  <si>
    <t>Fécula de Maiz</t>
  </si>
  <si>
    <t>853fa02b-a764-4fe4-9afc-0d4a9f03f0b9</t>
  </si>
  <si>
    <t>Bolsa de 500 gr</t>
  </si>
  <si>
    <t>tipo=insumo; área_producción=general; uso_presentación=general; fuente_presentación=manual; 2 presentación(es) adicional(es) en Supabase; sku=INS-FECULA-000416</t>
  </si>
  <si>
    <t>81599088-9b30-48cf-a571-b95d52e1b5cd</t>
  </si>
  <si>
    <t>Fermentadora 2 puertas</t>
  </si>
  <si>
    <t>tipo=insumo; área_producción=general; sku=EQP-FERMEN-000550</t>
  </si>
  <si>
    <t>8b35cee2-5a09-4266-8461-018bb7bfb4ff</t>
  </si>
  <si>
    <t>Fikissimo higos</t>
  </si>
  <si>
    <t>9336680e-0a70-4e2b-a3c8-68d813cb9816</t>
  </si>
  <si>
    <t>Pote de 3 kg</t>
  </si>
  <si>
    <t>tipo=insumo; área_producción=general; uso_presentación=general; fuente_presentación=manual; 1 presentación(es) adicional(es) en Supabase; sku=INS-FIKISS-000596</t>
  </si>
  <si>
    <t>4ab46277-5648-472b-9442-f7050555f74b</t>
  </si>
  <si>
    <t>Filtro purificador de agua</t>
  </si>
  <si>
    <t>tipo=insumo; área_producción=general; sku=EQP-FILTRO-000979</t>
  </si>
  <si>
    <t>d15cbb62-046b-48b9-b010-e78d7d750990</t>
  </si>
  <si>
    <t>Flor de Arándanos</t>
  </si>
  <si>
    <t>6c33e6ca-6ac4-4e2b-a9d0-771053fcadf6</t>
  </si>
  <si>
    <t>tipo=venta; área_producción=general; uso_presentación=remission; fuente_presentación=manual; sku=VEN-FLORDE-000371</t>
  </si>
  <si>
    <t>2ceefadf-a67e-4149-8443-a57d7ada1c58</t>
  </si>
  <si>
    <t>Flores Comestibles</t>
  </si>
  <si>
    <t>62cf3891-c749-4f6c-9d66-9679db095986</t>
  </si>
  <si>
    <t>Bandeja de 80 g</t>
  </si>
  <si>
    <t>tipo=insumo; área_producción=general; uso_presentación=remission; fuente_presentación=manual; 2 presentación(es) adicional(es) en Supabase; sku=INS-FLORES-000189</t>
  </si>
  <si>
    <t>c1fe29cf-64ca-4c00-ab49-7af40e70eeb0</t>
  </si>
  <si>
    <t>Fraisier</t>
  </si>
  <si>
    <t>tipo=venta; área_producción=general; sku=VEN-FRAISI-000624</t>
  </si>
  <si>
    <t>f701de70-78cc-4319-a452-473525fa3590</t>
  </si>
  <si>
    <t>Frappe de Café</t>
  </si>
  <si>
    <t>tipo=venta; área_producción=general; sku=VEN-FRAPPE-000689</t>
  </si>
  <si>
    <t>791c64fd-7d69-4e46-ae99-03be1d6fd2aa</t>
  </si>
  <si>
    <t>Frappe de Café &amp; Mocca</t>
  </si>
  <si>
    <t>tipo=venta; área_producción=general; sku=VEN-FRAPPE-000691</t>
  </si>
  <si>
    <t>5f43a498-0269-4e2d-aa6d-60f24d528509</t>
  </si>
  <si>
    <t>Frappe de Café Arequipe</t>
  </si>
  <si>
    <t>tipo=venta; área_producción=general; sku=VEN-FRAPPE-000690</t>
  </si>
  <si>
    <t>0e391fd2-21f1-4123-be0a-39de90508301</t>
  </si>
  <si>
    <t>Frappe de Café Baileys</t>
  </si>
  <si>
    <t>tipo=venta; área_producción=general; sku=VEN-FRAPPE-000854</t>
  </si>
  <si>
    <t>95281265-8039-4ceb-81a4-e0c35d49367f</t>
  </si>
  <si>
    <t>Freidora a gas</t>
  </si>
  <si>
    <t>tipo=insumo; área_producción=general; sku=EQP-FREIDO-000933</t>
  </si>
  <si>
    <t>18d0f107-d869-4d68-ac39-47dee3d24163</t>
  </si>
  <si>
    <t>French Dip</t>
  </si>
  <si>
    <t>tipo=venta; área_producción=general; sku=VEN-FRENCH-000767</t>
  </si>
  <si>
    <t>743a7513-4507-411a-9bb8-327526e8323a</t>
  </si>
  <si>
    <t>Fresa</t>
  </si>
  <si>
    <t>e5de44bb-faf9-4d7b-badb-e40c23d35c76</t>
  </si>
  <si>
    <t>tipo=insumo; área_producción=general; uso_presentación=general; fuente_presentación=manual; 1 presentación(es) adicional(es) en Supabase; sku=INS-FRESA-000052</t>
  </si>
  <si>
    <t>843ae2a2-d573-4997-ab6d-0e26b318576e</t>
  </si>
  <si>
    <t>Fresa Congelada</t>
  </si>
  <si>
    <t>a251ccff-9d08-419e-8ec3-8d7651d10bfc</t>
  </si>
  <si>
    <t>tipo=insumo; área_producción=general; uso_presentación=general; fuente_presentación=manual; 1 presentación(es) adicional(es) en Supabase; sku=INS-FRESAC-000673</t>
  </si>
  <si>
    <t>287e4d1c-fa44-474f-bc18-91af6420ad42</t>
  </si>
  <si>
    <t>Fresa de Chocolate</t>
  </si>
  <si>
    <t>07ec9127-775c-4235-a67f-0bccf9365d9e</t>
  </si>
  <si>
    <t>tipo=venta; área_producción=general; uso_presentación=remission; fuente_presentación=manual; sku=VEN-FRESAD-000368</t>
  </si>
  <si>
    <t>850257c1-4be0-446a-bbd3-6ab14fc69818</t>
  </si>
  <si>
    <t>Fríjol</t>
  </si>
  <si>
    <t>3c42005c-f903-461c-ad71-8cfb86c54a4e</t>
  </si>
  <si>
    <t>tipo=insumo; área_producción=general; uso_presentación=remission; fuente_presentación=manual; 1 presentación(es) adicional(es) en Supabase; sku=INS-FRIJOL-000178</t>
  </si>
  <si>
    <t>09019992-e1bd-4463-9aea-cdbfa5624137</t>
  </si>
  <si>
    <t>Fruta Fresca</t>
  </si>
  <si>
    <t>tipo=venta; área_producción=general; sku=VEN-FRUTAF-000746</t>
  </si>
  <si>
    <t>dd755eed-546a-42fc-9ec0-2cf553812279</t>
  </si>
  <si>
    <t>Frutos del Bosque</t>
  </si>
  <si>
    <t>1514f874-2ee9-4526-834f-5be59c193a0c</t>
  </si>
  <si>
    <t>Pote 2 kg</t>
  </si>
  <si>
    <t>tipo=insumo; área_producción=general; uso_presentación=remission; fuente_presentación=manual; 2 presentación(es) adicional(es) en Supabase; sku=INS-FRUTOS-000295</t>
  </si>
  <si>
    <t>2ae46f62-60bf-459f-8115-a9358f36763c</t>
  </si>
  <si>
    <t>Galleta Chips de Chocolate</t>
  </si>
  <si>
    <t>7be4ed77-3bca-42db-ad95-9154918cfb62</t>
  </si>
  <si>
    <t>tipo=venta; área_producción=general; uso_presentación=remission; fuente_presentación=manual; sku=VEN-GALLET-000364</t>
  </si>
  <si>
    <t>9a96f2d6-ec63-4f23-bac5-a5e839249a20</t>
  </si>
  <si>
    <t>Galleta Churro y Arequipe</t>
  </si>
  <si>
    <t>30f34cdd-eb49-43e6-a074-31e1bf4a0d31</t>
  </si>
  <si>
    <t>tipo=venta; área_producción=general; uso_presentación=remission; fuente_presentación=manual; sku=VEN-GALLET-000363</t>
  </si>
  <si>
    <t>33433a0f-63e2-4946-a4e0-d2d078e8586d</t>
  </si>
  <si>
    <t>Galleta de caramelo salado</t>
  </si>
  <si>
    <t>tipo=venta; área_producción=general; sku=VEN-GALLET-000964</t>
  </si>
  <si>
    <t>57ba4d45-3099-4bef-8239-6b3743986450</t>
  </si>
  <si>
    <t>Galleta de Leche Klim</t>
  </si>
  <si>
    <t>5a37672b-3860-4bc2-80ed-38ae12957217</t>
  </si>
  <si>
    <t>tipo=venta; área_producción=general; uso_presentación=remission; fuente_presentación=manual; sku=VEN-GALLET-000362</t>
  </si>
  <si>
    <t>8628a15e-ded0-45cf-8ec1-871e2ff71bd6</t>
  </si>
  <si>
    <t>Galleta de Macadamia</t>
  </si>
  <si>
    <t>5ca28868-3e23-40d5-ac41-f7cdded9e7fc</t>
  </si>
  <si>
    <t>tipo=venta; área_producción=general; uso_presentación=remission; fuente_presentación=manual; sku=VEN-GALLET-000355</t>
  </si>
  <si>
    <t>cb7423d3-eb7f-4785-9d85-418d25884bd0</t>
  </si>
  <si>
    <t>Galleta de Nutella &amp; Kinder Bueno</t>
  </si>
  <si>
    <t>56994f11-016c-4c7b-8fdb-a6e8dea327a5</t>
  </si>
  <si>
    <t>tipo=venta; área_producción=general; uso_presentación=remission; fuente_presentación=manual; sku=VEN-GALLET-000353</t>
  </si>
  <si>
    <t>f4aa3520-f584-4485-963f-3dbfccb8a63e</t>
  </si>
  <si>
    <t>Galleta de Pecanas</t>
  </si>
  <si>
    <t>802df468-2821-426d-8dbf-9e74541e43d5</t>
  </si>
  <si>
    <t>tipo=venta; área_producción=general; uso_presentación=remission; fuente_presentación=manual; sku=VEN-GALLET-000365</t>
  </si>
  <si>
    <t>db59b2ab-5dad-40c5-809b-271d8aa38d3f</t>
  </si>
  <si>
    <t>Galleta de Pistacho</t>
  </si>
  <si>
    <t>755a5528-1646-4adc-a0b3-b8c165ef2068</t>
  </si>
  <si>
    <t>tipo=venta; área_producción=general; uso_presentación=remission; fuente_presentación=manual; sku=VEN-GALLET-000358</t>
  </si>
  <si>
    <t>d36f44cc-3d31-47c7-a3a7-416e06fb6dcd</t>
  </si>
  <si>
    <t>Galleta Lotus Biscoff</t>
  </si>
  <si>
    <t>8eedcb6d-2139-42d6-b1e3-3dfda7f435b7</t>
  </si>
  <si>
    <t>tipo=venta; área_producción=general; uso_presentación=remission; fuente_presentación=manual; sku=VEN-GALLET-000354</t>
  </si>
  <si>
    <t>4d2d43da-fa88-4b95-ab10-90b4e55a0852</t>
  </si>
  <si>
    <t>Galleta Milo</t>
  </si>
  <si>
    <t>395116d7-df36-4c2e-a608-68c2988218f4</t>
  </si>
  <si>
    <t>tipo=venta; área_producción=general; uso_presentación=remission; fuente_presentación=manual; sku=VEN-GALLET-000356</t>
  </si>
  <si>
    <t>9c8fd5d7-f5f4-4535-a3bc-6a0c09d49a60</t>
  </si>
  <si>
    <t>Galleta Pie de Limón</t>
  </si>
  <si>
    <t>a90c5fda-c32b-4b99-b073-5f220f74156d</t>
  </si>
  <si>
    <t>tipo=venta; área_producción=general; uso_presentación=remission; fuente_presentación=manual; sku=VEN-GALLET-000357</t>
  </si>
  <si>
    <t>afb4f611-cd68-43dd-9def-9ba11797a33a</t>
  </si>
  <si>
    <t>Galleta Red Velvet</t>
  </si>
  <si>
    <t>6a669033-dd6b-4e57-a77a-947c7b3cb4c0</t>
  </si>
  <si>
    <t>tipo=venta; área_producción=general; uso_presentación=remission; fuente_presentación=manual; sku=VEN-GALLET-000359</t>
  </si>
  <si>
    <t>211f9b54-4220-4b9e-8ffc-950c356aa04f</t>
  </si>
  <si>
    <t>Galleta Reinita Arequipe</t>
  </si>
  <si>
    <t>bcb72dfa-4c9b-4d33-9eb2-65d48d1d1e56</t>
  </si>
  <si>
    <t>tipo=venta; área_producción=general; uso_presentación=remission; fuente_presentación=manual; sku=VEN-GALLET-000453</t>
  </si>
  <si>
    <t>8c884f3a-1f3a-464a-aa41-cab218484661</t>
  </si>
  <si>
    <t>Galleta Reinita Chocolate</t>
  </si>
  <si>
    <t>7d840dcc-ba3f-43b5-8e97-c791eb27956d</t>
  </si>
  <si>
    <t>tipo=venta; área_producción=general; uso_presentación=remission; fuente_presentación=manual; sku=VEN-GALLET-000454</t>
  </si>
  <si>
    <t>02f6fd39-a6ac-481a-a788-cb080e7e8e9e</t>
  </si>
  <si>
    <t>Galleta Smore</t>
  </si>
  <si>
    <t>eab07b7d-a16d-48e5-adf8-1c8bea1cfd6e</t>
  </si>
  <si>
    <t>tipo=venta; área_producción=general; uso_presentación=remission; fuente_presentación=manual; sku=VEN-GALLET-000361</t>
  </si>
  <si>
    <t>9711eaf6-daa6-461d-80b4-f9a9fe511176</t>
  </si>
  <si>
    <t>Garlic sticks</t>
  </si>
  <si>
    <t>tipo=venta; área_producción=general; sku=VEN-GARLIC-000875</t>
  </si>
  <si>
    <t>2e08594c-6d0e-4ca0-ac81-06044d2723ea</t>
  </si>
  <si>
    <t>Gaseosa Colombiana</t>
  </si>
  <si>
    <t>ee099d02-a7aa-40cb-b626-6eaeed99c8c4</t>
  </si>
  <si>
    <t>tipo=venta; área_producción=general; uso_presentación=remission; fuente_presentación=manual; 2 presentación(es) adicional(es) en Supabase; sku=VEN-GASEOS-000068</t>
  </si>
  <si>
    <t>2415f66a-330e-4dae-bf93-ebe941d8892a</t>
  </si>
  <si>
    <t>Gaseosa Manzana</t>
  </si>
  <si>
    <t>c1a20f2d-e8c9-408f-b0aa-76b10c141923</t>
  </si>
  <si>
    <t>tipo=venta; área_producción=general; uso_presentación=remission; fuente_presentación=manual; 2 presentación(es) adicional(es) en Supabase; sku=VEN-GASEOS-000071</t>
  </si>
  <si>
    <t>ff6bd1db-8e5d-494e-8e14-859034acfb1d</t>
  </si>
  <si>
    <t>Gatorade Frutas Tropicales 500 ml</t>
  </si>
  <si>
    <t>236f2a3c-551c-412d-842e-26740a0f6b98</t>
  </si>
  <si>
    <t>tipo=venta; área_producción=general; uso_presentación=remission; fuente_presentación=supplier_primary; 1 presentación(es) adicional(es) en Supabase; sku=VEN-GATORA-000481</t>
  </si>
  <si>
    <t>66a2c08c-d354-4cea-b7d1-d08f03ed9333</t>
  </si>
  <si>
    <t>Germinados Verdes</t>
  </si>
  <si>
    <t>ac8fe502-4a0c-4012-9282-3808b5ee3e27</t>
  </si>
  <si>
    <t>Bandeja de 1 un</t>
  </si>
  <si>
    <t>tipo=insumo; área_producción=general; uso_presentación=remission; fuente_presentación=manual; 1 presentación(es) adicional(es) en Supabase; sku=INS-GERMIN-000153</t>
  </si>
  <si>
    <t>d6828e0d-f1b2-4fa5-93c6-71bd4d15deb8</t>
  </si>
  <si>
    <t>Giger</t>
  </si>
  <si>
    <t>tipo=insumo; área_producción=general; sku=EQP-GIGER-000804</t>
  </si>
  <si>
    <t>71b12956-0fdf-4656-82de-a1c76778e1d0</t>
  </si>
  <si>
    <t>Ginebra Gordons</t>
  </si>
  <si>
    <t>abd1cfa9-42c4-4b39-87a5-36b49ae275b5</t>
  </si>
  <si>
    <t>tipo=insumo; área_producción=general; uso_presentación=remission; fuente_presentación=manual; 2 presentación(es) adicional(es) en Supabase; sku=INS-GINEBR-000291</t>
  </si>
  <si>
    <t>349a0494-247a-4194-b3e8-6c604452fe8b</t>
  </si>
  <si>
    <t>Ginger Canada Dry Pet</t>
  </si>
  <si>
    <t>b8df53d8-8afa-4ee4-9b81-fbe765822aa6</t>
  </si>
  <si>
    <t>Botella de 1500 ml</t>
  </si>
  <si>
    <t>tipo=insumo; área_producción=general; uso_presentación=remission; fuente_presentación=manual; 2 presentación(es) adicional(es) en Supabase; sku=INS-GINGER-000060</t>
  </si>
  <si>
    <t>7c757e78-68ab-47a8-aff7-be53ccc89c77</t>
  </si>
  <si>
    <t>Ginger Canada Dry Vidrio</t>
  </si>
  <si>
    <t>1fec21c0-4d1b-470c-8c14-1d08286f5490</t>
  </si>
  <si>
    <t>tipo=venta; área_producción=general; uso_presentación=remission; fuente_presentación=manual; 2 presentación(es) adicional(es) en Supabase; sku=VEN-GINGER-000061</t>
  </si>
  <si>
    <t>9a681410-b509-4f7e-b0a1-7ba88d801d04</t>
  </si>
  <si>
    <t>Glucosa en Polvo</t>
  </si>
  <si>
    <t>c1074542-2d65-4c60-9846-c547b2119fc8</t>
  </si>
  <si>
    <t>tipo=insumo; área_producción=general; uso_presentación=general; fuente_presentación=manual; 1 presentación(es) adicional(es) en Supabase; sku=INS-GLUCOS-000886</t>
  </si>
  <si>
    <t>b4de4752-e6ef-413e-bf41-e39e775faf48</t>
  </si>
  <si>
    <t>Glucosa Líquida</t>
  </si>
  <si>
    <t>1a95d360-7b81-48dc-b33e-7804f5a50d44</t>
  </si>
  <si>
    <t>tipo=insumo; área_producción=general; uso_presentación=general; fuente_presentación=manual; 1 presentación(es) adicional(es) en Supabase; sku=INS-GLUCOS-000640</t>
  </si>
  <si>
    <t>187cc540-f0c9-41ca-9af8-9c79b9c449dc</t>
  </si>
  <si>
    <t>Good Morning</t>
  </si>
  <si>
    <t>tipo=venta; área_producción=general; sku=VEN-GOODMO-000745</t>
  </si>
  <si>
    <t>eb37e847-9d19-4d54-92b4-a38c69a11e98</t>
  </si>
  <si>
    <t>Grageas de Chocolate Confitadas</t>
  </si>
  <si>
    <t>049fc83f-d763-460a-a65a-055e4a0990c2</t>
  </si>
  <si>
    <t>tipo=insumo; área_producción=general; uso_presentación=general; fuente_presentación=manual; 1 presentación(es) adicional(es) en Supabase; sku=INS-GRAGEA-000588</t>
  </si>
  <si>
    <t>6663a610-16a1-49a4-91bf-edd1bf8debc1</t>
  </si>
  <si>
    <t>Gramera</t>
  </si>
  <si>
    <t>tipo=insumo; área_producción=general; sku=EQP-GRAMER-000936</t>
  </si>
  <si>
    <t>584104a8-5790-412c-a562-72726d7cb04d</t>
  </si>
  <si>
    <t>Gran Stracciatella Real</t>
  </si>
  <si>
    <t>da58c8ca-c7a3-4416-9fa5-5125d056fba5</t>
  </si>
  <si>
    <t>Pote 5 kg</t>
  </si>
  <si>
    <t>tipo=insumo; área_producción=general; uso_presentación=remission; fuente_presentación=manual; 1 presentación(es) adicional(es) en Supabase; sku=INS-GRANST-000489</t>
  </si>
  <si>
    <t>26e3a67f-1b50-4913-b361-65601de6a166</t>
  </si>
  <si>
    <t>Granizado de café</t>
  </si>
  <si>
    <t>tipo=venta; área_producción=general; sku=VEN-GRANIZ-000947</t>
  </si>
  <si>
    <t>909dac7e-53e7-4016-bc94-de5a2d8395a2</t>
  </si>
  <si>
    <t>Granizado de milo</t>
  </si>
  <si>
    <t>tipo=venta; área_producción=general; sku=VEN-GRANIZ-000948</t>
  </si>
  <si>
    <t>11ed3d77-a8e9-4d0a-a0e0-23738cfc423f</t>
  </si>
  <si>
    <t>Granizado maracuya</t>
  </si>
  <si>
    <t>tipo=venta; área_producción=general; sku=VEN-GRANIZ-000946</t>
  </si>
  <si>
    <t>5216780e-57d3-486e-a299-b6888236d04e</t>
  </si>
  <si>
    <t>Granola</t>
  </si>
  <si>
    <t>45559b4a-2a18-4e2f-a7d7-8a43d9568a29</t>
  </si>
  <si>
    <t>tipo=preparacion; área_producción=general; uso_presentación=remission; fuente_presentación=manual; sku=PRE-GRANOL-000171</t>
  </si>
  <si>
    <t>0515038c-0444-4dc1-92bf-4871f1ca2852</t>
  </si>
  <si>
    <t>Guanciale</t>
  </si>
  <si>
    <t>01b57ca8-f64f-4517-8e93-fca2f7c932ba</t>
  </si>
  <si>
    <t>Paquete de 1 kg</t>
  </si>
  <si>
    <t>tipo=insumo; área_producción=general; uso_presentación=remission; fuente_presentación=manual; 1 presentación(es) adicional(es) en Supabase; sku=INS-GUANCI-000015</t>
  </si>
  <si>
    <t>d9d03e48-fa7d-42da-bd64-e7ef02c6adc1</t>
  </si>
  <si>
    <t>Guanciale Porcionado</t>
  </si>
  <si>
    <t>tipo=preparacion; área_producción=general; sku=PRE-GUANCI-000113</t>
  </si>
  <si>
    <t>5f0cf0a6-a639-4b4a-8da1-2783d52cd732</t>
  </si>
  <si>
    <t>Guantes de Aseo</t>
  </si>
  <si>
    <t>d3bf7f00-71a6-48b1-892e-fc843769ee15</t>
  </si>
  <si>
    <t>Bolsa de 1 par</t>
  </si>
  <si>
    <t>tipo=insumo; área_producción=general; uso_presentación=general; fuente_presentación=manual; 1 presentación(es) adicional(es) en Supabase; sku=INS-GUANTE-000580</t>
  </si>
  <si>
    <t>005b3df2-cca8-4a48-942d-ed142f8ef812</t>
  </si>
  <si>
    <t>Guantes L</t>
  </si>
  <si>
    <t>56ff8a10-1154-4461-82fc-4c0c1aae3d84</t>
  </si>
  <si>
    <t>Caja de 100 un</t>
  </si>
  <si>
    <t>tipo=insumo; área_producción=general; uso_presentación=remission; fuente_presentación=manual; 2 presentación(es) adicional(es) en Supabase; sku=INS-GUANTE-000143</t>
  </si>
  <si>
    <t>93a416a4-c961-4dcc-9133-996ebae7f032</t>
  </si>
  <si>
    <t>Guantes M</t>
  </si>
  <si>
    <t>3d743d3e-f442-4d92-beb4-582661993204</t>
  </si>
  <si>
    <t>tipo=insumo; área_producción=general; uso_presentación=remission; fuente_presentación=manual; 2 presentación(es) adicional(es) en Supabase; sku=INS-GUANTE-000142</t>
  </si>
  <si>
    <t>c59b5e3a-8cda-47a4-abb4-9e9280605e9e</t>
  </si>
  <si>
    <t>Hace moldes</t>
  </si>
  <si>
    <t>tipo=insumo; área_producción=general; sku=EQP-HACEMO-000568</t>
  </si>
  <si>
    <t>50839a70-30d6-4c5e-b03e-d1cba6620f3a</t>
  </si>
  <si>
    <t>Ham &amp; cheese croissant</t>
  </si>
  <si>
    <t>tipo=venta; área_producción=general; sku=VEN-HAMCHE-000878</t>
  </si>
  <si>
    <t>542402ff-afb8-4a7c-95b7-57986b2dffea</t>
  </si>
  <si>
    <t>Harina de Almendras</t>
  </si>
  <si>
    <t>913bc7ed-d5bd-44a4-a689-af9f3b4635f5</t>
  </si>
  <si>
    <t>tipo=insumo; área_producción=general; uso_presentación=general; fuente_presentación=manual; 1 presentación(es) adicional(es) en Supabase; sku=INS-HARINA-000650</t>
  </si>
  <si>
    <t>2d61356c-df67-4cb9-8ed3-801185b0f2d0</t>
  </si>
  <si>
    <t>Harina de Avena</t>
  </si>
  <si>
    <t>a6cef6b5-d976-44ae-b94f-ddc178b3d246</t>
  </si>
  <si>
    <t>tipo=insumo; área_producción=general; uso_presentación=general; fuente_presentación=manual; 1 presentación(es) adicional(es) en Supabase; sku=INS-HARINA-000664</t>
  </si>
  <si>
    <t>3c6dab52-eddb-42a6-a1d4-d901b18a9a05</t>
  </si>
  <si>
    <t>Harina Elite Rosada</t>
  </si>
  <si>
    <t>074013ab-f342-4865-8760-1589b1adfc8f</t>
  </si>
  <si>
    <t>Bulto de 25 kg</t>
  </si>
  <si>
    <t>tipo=insumo; área_producción=general; uso_presentación=general; fuente_presentación=manual; 1 presentación(es) adicional(es) en Supabase; sku=INS-HARINA-000398</t>
  </si>
  <si>
    <t>16819c28-c86c-4037-851b-2f54160b98f0</t>
  </si>
  <si>
    <t>Harina Panadera Tres Castillos</t>
  </si>
  <si>
    <t>7f5d0efe-c16d-4a44-b09b-fc05d537c7c0</t>
  </si>
  <si>
    <t>Bulto de 50 kg</t>
  </si>
  <si>
    <t>tipo=insumo; área_producción=general; uso_presentación=general; fuente_presentación=manual; 1 presentación(es) adicional(es) en Supabase; sku=INS-HARINA-000525</t>
  </si>
  <si>
    <t>d789639f-7da1-434a-9426-a91cc7bf99dc</t>
  </si>
  <si>
    <t>Harina Robinson Artesanal</t>
  </si>
  <si>
    <t>bdb094e6-c01d-43a9-8602-2500de5e0934</t>
  </si>
  <si>
    <t>tipo=insumo; área_producción=general; uso_presentación=general; fuente_presentación=manual; 1 presentación(es) adicional(es) en Supabase; sku=INS-HARINA-000627</t>
  </si>
  <si>
    <t>b74bc247-3b6a-4f69-8be1-ae997ff95eec</t>
  </si>
  <si>
    <t>Harina Robinson Tradicional</t>
  </si>
  <si>
    <t>df0b8398-ad06-4f7e-b627-ab7e9996f8f1</t>
  </si>
  <si>
    <t>tipo=insumo; área_producción=general; uso_presentación=remission; fuente_presentación=manual; 1 presentación(es) adicional(es) en Supabase; sku=INS-HARINA-000179</t>
  </si>
  <si>
    <t>a05f17d4-6e0c-4607-b74d-6d0200ba7a82</t>
  </si>
  <si>
    <t>HarinaPAN</t>
  </si>
  <si>
    <t>95f1ffcf-ea4a-43dc-add5-f643d3f568a6</t>
  </si>
  <si>
    <t>Bolsa de 800 g</t>
  </si>
  <si>
    <t>tipo=insumo; área_producción=general; uso_presentación=general; fuente_presentación=manual; 1 presentación(es) adicional(es) en Supabase; sku=INS-HARINA-000605</t>
  </si>
  <si>
    <t>b5533761-6555-40b8-9605-d7aae6372d8d</t>
  </si>
  <si>
    <t>Helado Base Vainilla</t>
  </si>
  <si>
    <t>Masas y bases dulces</t>
  </si>
  <si>
    <t>tipo=preparacion; área_producción=general; sku=PRE-HELADO-000771</t>
  </si>
  <si>
    <t>5541f2be-b0c4-4512-a924-b944a720cc03</t>
  </si>
  <si>
    <t>Helado Base Yogurt Light</t>
  </si>
  <si>
    <t>tipo=preparacion; área_producción=general; sku=PRE-HELADO-000715</t>
  </si>
  <si>
    <t>24eaaa36-8501-45a4-839e-cea5e1ac21aa</t>
  </si>
  <si>
    <t>Hierbabuena</t>
  </si>
  <si>
    <t>483cb190-e700-4722-9376-68e48ac89a75</t>
  </si>
  <si>
    <t>tipo=insumo; área_producción=general; uso_presentación=general; fuente_presentación=manual; 1 presentación(es) adicional(es) en Supabase; sku=INS-HIERBA-000116</t>
  </si>
  <si>
    <t>485f1953-7644-4eeb-ad5c-595de849b3c5</t>
  </si>
  <si>
    <t>Higos</t>
  </si>
  <si>
    <t>4de03616-a8e2-4c1b-a952-41ae189c9ee7</t>
  </si>
  <si>
    <t>tipo=insumo; área_producción=general; uso_presentación=general; fuente_presentación=manual; 1 presentación(es) adicional(es) en Supabase; sku=INS-HIGOS-000058</t>
  </si>
  <si>
    <t>a301a0ee-e260-40b8-9ac2-ba15472662cb</t>
  </si>
  <si>
    <t>Hojaldre Carne y Cebolla Caramelizada</t>
  </si>
  <si>
    <t>415ffcd6-5d7b-4332-89ae-e349471f0ef8</t>
  </si>
  <si>
    <t>tipo=venta; área_producción=general; uso_presentación=remission; fuente_presentación=manual; sku=VEN-HOJALD-000440</t>
  </si>
  <si>
    <t>27bb69ef-cf73-4548-b928-cb723ac43db4</t>
  </si>
  <si>
    <t>Hojaldre Costilla BBQ</t>
  </si>
  <si>
    <t>d8e825b2-7db9-4d0e-9be3-75b551d53181</t>
  </si>
  <si>
    <t>tipo=venta; área_producción=general; uso_presentación=remission; fuente_presentación=manual; sku=VEN-HOJALD-000438</t>
  </si>
  <si>
    <t>099dd646-8b04-4290-b2db-95587f81fc8f</t>
  </si>
  <si>
    <t>Hojaldre de Palito de Queso</t>
  </si>
  <si>
    <t>tipo=venta; área_producción=general; sku=VEN-HOJALD-000903</t>
  </si>
  <si>
    <t>a8d5f019-81ba-4192-9dc2-498f4c2f7ef4</t>
  </si>
  <si>
    <t>Hojaldre de Pollo</t>
  </si>
  <si>
    <t>a3e691ca-d017-43f1-af65-b8e0c9940159</t>
  </si>
  <si>
    <t>tipo=venta; área_producción=general; uso_presentación=remission; fuente_presentación=manual; sku=VEN-HOJALD-000436</t>
  </si>
  <si>
    <t>acddd25d-4946-4dcf-b88f-2861181f68f3</t>
  </si>
  <si>
    <t>Hojaldre de Pollo y Tocineta</t>
  </si>
  <si>
    <t>tipo=venta; área_producción=general; sku=VEN-HOJADR-000902</t>
  </si>
  <si>
    <t>76f107fe-2fdd-472e-81bb-c16d28fd8f42</t>
  </si>
  <si>
    <t>Hojaldre de roast beef</t>
  </si>
  <si>
    <t>tipo=venta; área_producción=general; sku=VEN-HOJALD-000943</t>
  </si>
  <si>
    <t>bdbe7250-d3ad-4937-94a1-e5c11f55d34a</t>
  </si>
  <si>
    <t>Hojaldre Espinaca y Feta</t>
  </si>
  <si>
    <t>70814451-2cd1-4dac-8914-a29f9da2d064</t>
  </si>
  <si>
    <t>tipo=venta; área_producción=general; uso_presentación=remission; fuente_presentación=manual; sku=VEN-HOJALD-000441</t>
  </si>
  <si>
    <t>0e0ab677-9826-42c0-987d-1b4fbfd8153b</t>
  </si>
  <si>
    <t>Hojaldre Jamón y Queso</t>
  </si>
  <si>
    <t>329ace1c-04d1-4d8f-a0ed-f885b5320e07</t>
  </si>
  <si>
    <t>tipo=venta; área_producción=general; uso_presentación=remission; fuente_presentación=manual; sku=VEN-HOJALD-000439</t>
  </si>
  <si>
    <t>b917ad34-9668-4d90-89d3-3d865f7b1e36</t>
  </si>
  <si>
    <t>Hojaldre Ranchero</t>
  </si>
  <si>
    <t>bc860c25-8515-4191-a862-73ddffcbc682</t>
  </si>
  <si>
    <t>tipo=venta; área_producción=general; uso_presentación=remission; fuente_presentación=manual; sku=VEN-HOJALD-000437</t>
  </si>
  <si>
    <t>ff332de2-c287-42ad-96c5-4fe2bf125134</t>
  </si>
  <si>
    <t>Hojuelas de Maíz</t>
  </si>
  <si>
    <t>ee4dfaca-eb68-41a8-9b40-f9052a820972</t>
  </si>
  <si>
    <t>tipo=insumo; área_producción=general; uso_presentación=general; fuente_presentación=manual; 1 presentación(es) adicional(es) en Supabase; sku=INS-HOJUEL-000472</t>
  </si>
  <si>
    <t>e3fd6cba-7b72-43ba-a58f-89e8e6d88174</t>
  </si>
  <si>
    <t>Hongo Mágico</t>
  </si>
  <si>
    <t>2289334c-c4f8-4253-8e1f-39e154dac523</t>
  </si>
  <si>
    <t>tipo=venta; área_producción=general; uso_presentación=remission; fuente_presentación=manual; sku=VEN-HONGOM-000369</t>
  </si>
  <si>
    <t>a4cc387a-3085-404e-beb8-54b033f0ac74</t>
  </si>
  <si>
    <t>Horno eléctrico</t>
  </si>
  <si>
    <t>tipo=insumo; área_producción=general; sku=EQP-HORNOE-000990</t>
  </si>
  <si>
    <t>e1f63ed4-7bf5-452f-bfe0-6d2d8058856e</t>
  </si>
  <si>
    <t>Horno empotrable 1 quemador</t>
  </si>
  <si>
    <t>tipo=insumo; área_producción=general; sku=EQP-HORNOE-000539</t>
  </si>
  <si>
    <t>dedc5b97-c820-4642-ac2e-515d85032e60</t>
  </si>
  <si>
    <t>Horno giratorio</t>
  </si>
  <si>
    <t>tipo=insumo; área_producción=general; sku=EQP-HORNOG-000547</t>
  </si>
  <si>
    <t>4d524c45-3f93-445c-bf59-85bfb33f90f3</t>
  </si>
  <si>
    <t>Horno industrial</t>
  </si>
  <si>
    <t>tipo=insumo; área_producción=general; sku=EQP-HORNOI-000548</t>
  </si>
  <si>
    <t>5aec34d7-f5b0-43ad-9055-d924f9a3f03c</t>
  </si>
  <si>
    <t>Horno industrial 3 gavetas</t>
  </si>
  <si>
    <t>tipo=insumo; área_producción=general; sku=EQP-HORNOI-000549</t>
  </si>
  <si>
    <t>e994efc4-bcbd-41a8-b116-3ae5dd721e8d</t>
  </si>
  <si>
    <t>Horno microondas</t>
  </si>
  <si>
    <t>tipo=insumo; área_producción=general; sku=EQP-HORNOM-000564</t>
  </si>
  <si>
    <t>903e08a5-7fc3-4e1a-85cd-b1e8b8e13f94</t>
  </si>
  <si>
    <t>Horno microondas 20 litros</t>
  </si>
  <si>
    <t>tipo=insumo; área_producción=general; sku=EQP-HORNOM-000561</t>
  </si>
  <si>
    <t>af8c43df-e750-423d-876e-a9047ccc28b8</t>
  </si>
  <si>
    <t>Hot pepperoni rolls</t>
  </si>
  <si>
    <t>tipo=venta; área_producción=general; sku=VEN-HOTPEP-000877</t>
  </si>
  <si>
    <t>cd7f29db-0765-4822-a1e0-12f973936452</t>
  </si>
  <si>
    <t>Huevitos Armonía</t>
  </si>
  <si>
    <t>tipo=venta; área_producción=general; sku=VEN-HUEVIT-000739</t>
  </si>
  <si>
    <t>4eab2507-e458-489b-bdf0-6dce644f67ff</t>
  </si>
  <si>
    <t>Huevitos Caseritos</t>
  </si>
  <si>
    <t>tipo=venta; área_producción=general; sku=VEN-HUEVIT-000741</t>
  </si>
  <si>
    <t>6afb41b7-b716-4c03-8615-1a0942c643c5</t>
  </si>
  <si>
    <t>Huevitos de Sol</t>
  </si>
  <si>
    <t>tipo=venta; área_producción=general; sku=VEN-HUEVIT-000735</t>
  </si>
  <si>
    <t>fc3dc21e-eca6-418c-b42e-3b4797910989</t>
  </si>
  <si>
    <t>Huevitos Despertar</t>
  </si>
  <si>
    <t>tipo=venta; área_producción=general; sku=VEN-HUEVIT-000736</t>
  </si>
  <si>
    <t>4faf9084-b306-4d8b-9d3b-0eb26e9b9d0f</t>
  </si>
  <si>
    <t>Huevitos Margarita</t>
  </si>
  <si>
    <t>tipo=venta; área_producción=general; sku=VEN-HUEVIT-000740</t>
  </si>
  <si>
    <t>e9f83880-2b15-4a23-a171-b5b376ee0429</t>
  </si>
  <si>
    <t>Huevitos Montañeros</t>
  </si>
  <si>
    <t>tipo=venta; área_producción=general; sku=VEN-HUEVIT-000744</t>
  </si>
  <si>
    <t>8c1f16cd-ea7f-47cf-bd8e-7782e00546df</t>
  </si>
  <si>
    <t>Huevitos parmesano</t>
  </si>
  <si>
    <t>tipo=venta; área_producción=general; sku=VEN-HUEVIT-000618</t>
  </si>
  <si>
    <t>75037dbe-e5ed-4bb5-9ff7-1b2f1024cd5c</t>
  </si>
  <si>
    <t>Huevitos Reales</t>
  </si>
  <si>
    <t>tipo=venta; área_producción=general; sku=VEN-HUEVIT-000737</t>
  </si>
  <si>
    <t>313688ed-3a06-433f-8aa8-860c5ce12669</t>
  </si>
  <si>
    <t>Huevitos Vaqueros</t>
  </si>
  <si>
    <t>tipo=venta; área_producción=general; sku=VEN-HUEVIT-000738</t>
  </si>
  <si>
    <t>914a9973-d465-4060-9edd-62e62212b4c5</t>
  </si>
  <si>
    <t>Huevos AA</t>
  </si>
  <si>
    <t>Huevos</t>
  </si>
  <si>
    <t>d810de41-b697-4379-8bd8-8c62f5497999</t>
  </si>
  <si>
    <t>Cartón de 30 un</t>
  </si>
  <si>
    <t>tipo=insumo; área_producción=general; uso_presentación=remission; fuente_presentación=manual; 2 presentación(es) adicional(es) en Supabase; sku=INS-HUEVOS-000032</t>
  </si>
  <si>
    <t>0c741a2e-36e4-4709-be81-85d0c65903f4</t>
  </si>
  <si>
    <t>Huevos de Codorniz</t>
  </si>
  <si>
    <t>9e2a7c7b-9c2c-4339-ae79-952b359347c1</t>
  </si>
  <si>
    <t>Cartón de 24 un</t>
  </si>
  <si>
    <t>tipo=insumo; área_producción=general; uso_presentación=remission; fuente_presentación=manual; 1 presentación(es) adicional(es) en Supabase; sku=INS-HUEVOS-000181</t>
  </si>
  <si>
    <t>570e147b-9077-4b3e-b1e8-dac8d248006e</t>
  </si>
  <si>
    <t>Impresora epson</t>
  </si>
  <si>
    <t>tipo=insumo; área_producción=general; sku=EQP-IMPRES-000635</t>
  </si>
  <si>
    <t>f2828fab-00f9-4847-98df-7bc63329e632</t>
  </si>
  <si>
    <t>Impresora termica</t>
  </si>
  <si>
    <t>tipo=insumo; área_producción=general; sku=EQP-IMPRES-000989</t>
  </si>
  <si>
    <t>cd0a666a-6045-4719-a148-0f6709e1b94a</t>
  </si>
  <si>
    <t>Infusión Frutos Amarillos</t>
  </si>
  <si>
    <t>Infusiones</t>
  </si>
  <si>
    <t>4e1f2980-63fe-4afe-8223-716b6ac15b94</t>
  </si>
  <si>
    <t>Bolsa de 100 un</t>
  </si>
  <si>
    <t>tipo=insumo; área_producción=general; uso_presentación=remission; fuente_presentación=manual; 1 presentación(es) adicional(es) en Supabase; sku=INS-INFUSI-000317</t>
  </si>
  <si>
    <t>6f91a0a5-8690-45d1-8daf-57100ae9e4ae</t>
  </si>
  <si>
    <t>tipo=venta; área_producción=general; sku=VEN-INFUSI-000695</t>
  </si>
  <si>
    <t>c618236a-5864-466d-bf8c-699d6c146e25</t>
  </si>
  <si>
    <t>Infusión Frutos Rojos</t>
  </si>
  <si>
    <t>tipo=venta; área_producción=general; sku=VEN-INFUSI-000855</t>
  </si>
  <si>
    <t>17b83553-2f8c-44fc-92a0-44eede2799d9</t>
  </si>
  <si>
    <t>57f74900-b550-4652-99c6-e5e69bb735bd</t>
  </si>
  <si>
    <t>tipo=insumo; área_producción=general; uso_presentación=remission; fuente_presentación=manual; 1 presentación(es) adicional(es) en Supabase; sku=INS-INFUSI-000319</t>
  </si>
  <si>
    <t>8b8962d6-7133-4dfe-a22e-ad57c9a3f01a</t>
  </si>
  <si>
    <t>Infusión Frutos Verdes</t>
  </si>
  <si>
    <t>tipo=venta; área_producción=general; sku=VEN-INFUSI-000856</t>
  </si>
  <si>
    <t>a417ada2-278c-4c4d-9d4e-3899e939f86c</t>
  </si>
  <si>
    <t>c1c174ea-f73a-4ca4-8b2e-1d4ec7d2b145</t>
  </si>
  <si>
    <t>tipo=insumo; área_producción=general; uso_presentación=remission; fuente_presentación=manual; 1 presentación(es) adicional(es) en Supabase; sku=INS-INFUSI-000321</t>
  </si>
  <si>
    <t>7ac13035-ce32-43b4-b9a5-6f88808ea508</t>
  </si>
  <si>
    <t>Integral de molde</t>
  </si>
  <si>
    <t>tipo=venta; área_producción=general; sku=VEN-INTEGR-000965</t>
  </si>
  <si>
    <t>70a35510-d158-4f6b-a6c2-82dd7fa5f792</t>
  </si>
  <si>
    <t>Jabón de Manos</t>
  </si>
  <si>
    <t>e59a776b-6cf3-4889-9fb2-38eeb03cda2b</t>
  </si>
  <si>
    <t>tipo=insumo; área_producción=general; uso_presentación=remission; fuente_presentación=manual; 2 presentación(es) adicional(es) en Supabase; sku=INS-JABOND-000156</t>
  </si>
  <si>
    <t>4d56a0c4-10d4-4e14-bd46-b6d835540eca</t>
  </si>
  <si>
    <t>Jabón en Polvo</t>
  </si>
  <si>
    <t>2fa4e75f-e863-43af-a8d1-cfe536e7e7de</t>
  </si>
  <si>
    <t>tipo=insumo; área_producción=general; uso_presentación=remission; fuente_presentación=manual; 2 presentación(es) adicional(es) en Supabase; sku=INS-JABONE-000157</t>
  </si>
  <si>
    <t>66506751-37bc-49d1-9c81-0a09c01317ca</t>
  </si>
  <si>
    <t>Jägermeister</t>
  </si>
  <si>
    <t>6ee1e943-6fd8-4092-a499-30e349f4d936</t>
  </si>
  <si>
    <t>Botella de 700 ml</t>
  </si>
  <si>
    <t>tipo=insumo; área_producción=general; uso_presentación=remission; fuente_presentación=manual; 1 presentación(es) adicional(es) en Supabase; sku=INS-JAGERM-000901</t>
  </si>
  <si>
    <t>61b022af-291c-4b09-b8da-cc43baa279f3</t>
  </si>
  <si>
    <t>Jamón Ahumado</t>
  </si>
  <si>
    <t>e4d85b70-79d9-4586-9c61-d3f7893602a9</t>
  </si>
  <si>
    <t>tipo=insumo; área_producción=general; uso_presentación=general; fuente_presentación=manual; 2 presentación(es) adicional(es) en Supabase; sku=INS-JAMONA-000125</t>
  </si>
  <si>
    <t>a138a7c6-1727-4e0b-a0e1-40b7b778e6a1</t>
  </si>
  <si>
    <t>Jamón de Pavo</t>
  </si>
  <si>
    <t>da8038a7-dca8-4010-9cb3-8fa65f9e9cb7</t>
  </si>
  <si>
    <t>tipo=insumo; área_producción=general; uso_presentación=remission; fuente_presentación=manual; 2 presentación(es) adicional(es) en Supabase; sku=INS-JAMOND-000182</t>
  </si>
  <si>
    <t>cac8116e-3274-4a63-9fbd-bb30e1c2dd74</t>
  </si>
  <si>
    <t>Jamón Serrano</t>
  </si>
  <si>
    <t>fce78b51-4afa-42f6-95ae-c4cd43ca6186</t>
  </si>
  <si>
    <t>Paquete de 400 g</t>
  </si>
  <si>
    <t>tipo=insumo; área_producción=general; uso_presentación=remission; fuente_presentación=manual; 1 presentación(es) adicional(es) en Supabase; sku=INS-JAMONS-000124</t>
  </si>
  <si>
    <t>18eac218-16c8-494a-ba09-144cb10a61b3</t>
  </si>
  <si>
    <t>JARRA VIDRIO</t>
  </si>
  <si>
    <t>tipo=insumo; área_producción=general; sku=EQP-JARRAV-000812</t>
  </si>
  <si>
    <t>fa74b543-e07e-43e3-84a6-ea987ffeeb06</t>
  </si>
  <si>
    <t>Jengibre</t>
  </si>
  <si>
    <t>82f5fea8-05a5-4814-b4d0-8686e0ad82d0</t>
  </si>
  <si>
    <t>tipo=insumo; área_producción=general; uso_presentación=general; fuente_presentación=manual; 1 presentación(es) adicional(es) en Supabase; sku=INS-JENGIB-000047</t>
  </si>
  <si>
    <t>dd6f44cd-ee54-4906-9b7f-fe88afaaf800</t>
  </si>
  <si>
    <t>Jugo de banano</t>
  </si>
  <si>
    <t>tipo=venta; área_producción=general; sku=VEN-JUGODE-000951</t>
  </si>
  <si>
    <t>cd5670fa-cae4-43af-a6e3-64b65f4eee20</t>
  </si>
  <si>
    <t>Jugo de fresa</t>
  </si>
  <si>
    <t>tipo=venta; área_producción=general; sku=VEN-JUGODE-000950</t>
  </si>
  <si>
    <t>ad349259-f003-4ea6-8e6c-8c674d7475a1</t>
  </si>
  <si>
    <t>Jugo de Frutos Amarillos</t>
  </si>
  <si>
    <t>tipo=venta; área_producción=general; sku=VEN-JUGODE-000711</t>
  </si>
  <si>
    <t>48ff95ee-de87-43cd-9517-07968bc876af</t>
  </si>
  <si>
    <t>Jugo de Frutos Rojos</t>
  </si>
  <si>
    <t>tipo=venta; área_producción=general; sku=VEN-JUGODE-000710</t>
  </si>
  <si>
    <t>8bfd4882-3175-4d03-93da-d3042d1c3d9b</t>
  </si>
  <si>
    <t>Jugo de frutos verdes</t>
  </si>
  <si>
    <t>tipo=venta; área_producción=general; sku=VEN-JUGODE-000712</t>
  </si>
  <si>
    <t>c79a79bb-93ec-4787-9ca4-99ba0f778e69</t>
  </si>
  <si>
    <t>Jugo de Guanábana</t>
  </si>
  <si>
    <t>tipo=venta; área_producción=general; sku=VEN-JUGODE-000952</t>
  </si>
  <si>
    <t>30895ad2-71a6-4286-956e-24d01214e086</t>
  </si>
  <si>
    <t>Jugo de mora</t>
  </si>
  <si>
    <t>tipo=venta; área_producción=general; sku=VEN-JUGODE-000953</t>
  </si>
  <si>
    <t>f2c0bc54-d9d2-4c0e-9192-99bdd5cd86e6</t>
  </si>
  <si>
    <t>Jugo de Naranja</t>
  </si>
  <si>
    <t>968a35c7-0b16-4194-bc40-6d69ce59215d</t>
  </si>
  <si>
    <t>Botella de 1 litro</t>
  </si>
  <si>
    <t>tipo=insumo; área_producción=general; uso_presentación=remission; fuente_presentación=manual; 2 presentación(es) adicional(es) en Supabase; sku=INS-JUGODE-000003</t>
  </si>
  <si>
    <t>dcb21880-f353-4f29-9c9e-8a44009eaa02</t>
  </si>
  <si>
    <t>Jugo HIT Frutas Tropicales 500 ml</t>
  </si>
  <si>
    <t>2c4157ba-7df6-4c2e-8fc1-ece541bc91aa</t>
  </si>
  <si>
    <t>tipo=venta; área_producción=general; uso_presentación=remission; fuente_presentación=supplier_primary; 1 presentación(es) adicional(es) en Supabase; sku=VEN-JUGOHI-000486</t>
  </si>
  <si>
    <t>a4af2d39-f349-4c52-b06b-43b3cc5900f7</t>
  </si>
  <si>
    <t>Jugo HIT Mango 500 ml</t>
  </si>
  <si>
    <t>a5534b84-1cbf-4ea4-b4b3-c9e6e335fc38</t>
  </si>
  <si>
    <t>tipo=venta; área_producción=general; uso_presentación=remission; fuente_presentación=supplier_primary; 1 presentación(es) adicional(es) en Supabase; sku=VEN-JUGOHI-000487</t>
  </si>
  <si>
    <t>66869edb-f059-4b51-ab2e-27e67c844776</t>
  </si>
  <si>
    <t>Kinder Bueno</t>
  </si>
  <si>
    <t>a5ffcf83-ddb6-4fa2-b8f8-a28015daf5f2</t>
  </si>
  <si>
    <t>Bolsa de 20 un</t>
  </si>
  <si>
    <t>tipo=insumo; área_producción=general; uso_presentación=general; fuente_presentación=manual; 1 presentación(es) adicional(es) en Supabase; sku=INS-KINDER-000601</t>
  </si>
  <si>
    <t>4b933fda-70ba-4a60-8cd4-7d8087392918</t>
  </si>
  <si>
    <t>Kit Caja REF:7071</t>
  </si>
  <si>
    <t>8414cdee-fc52-4557-be7f-3f7ebfc35eee</t>
  </si>
  <si>
    <t>tipo=insumo; área_producción=general; uso_presentación=remission; fuente_presentación=manual; 1 presentación(es) adicional(es) en Supabase; sku=INS-KITCAJ-000401</t>
  </si>
  <si>
    <t>9b2f713b-39e5-4086-9741-25444a5b2a26</t>
  </si>
  <si>
    <t>Kiwi</t>
  </si>
  <si>
    <t>5b1510d7-8c83-42a7-af03-d12ec3d6e296</t>
  </si>
  <si>
    <t>tipo=insumo; área_producción=general; uso_presentación=general; fuente_presentación=manual; 1 presentación(es) adicional(es) en Supabase; sku=INS-KIWI-000501</t>
  </si>
  <si>
    <t>0e868d22-98c6-4d14-91d0-b6f3e7e5b105</t>
  </si>
  <si>
    <t>Kola Hipinto 1500 ml</t>
  </si>
  <si>
    <t>f99fafb2-876c-44ea-be7d-62a1bdd1c979</t>
  </si>
  <si>
    <t>tipo=venta; área_producción=general; uso_presentación=remission; fuente_presentación=supplier_primary; 1 presentación(es) adicional(es) en Supabase; sku=VEN-KOLAHI-000483</t>
  </si>
  <si>
    <t>064cce03-c815-4cfb-9e6b-1567ee1167f5</t>
  </si>
  <si>
    <t>Krocomilk</t>
  </si>
  <si>
    <t>18c9e349-9548-41f8-9368-5dda201e49db</t>
  </si>
  <si>
    <t>Pote de 2 kg</t>
  </si>
  <si>
    <t>tipo=insumo; área_producción=general; uso_presentación=remission; fuente_presentación=manual; 1 presentación(es) adicional(es) en Supabase; sku=INS-CROCOM-000292</t>
  </si>
  <si>
    <t>1b23d7b7-b3df-4ed7-8779-4d71fdab5dc8</t>
  </si>
  <si>
    <t>Laminadora</t>
  </si>
  <si>
    <t>tipo=insumo; área_producción=general; sku=EQP-LAMINA-000553</t>
  </si>
  <si>
    <t>11606540-a1b1-4ff0-8b23-3c69269f9bb6</t>
  </si>
  <si>
    <t>Lancciotto</t>
  </si>
  <si>
    <t>ad66cea6-2dc1-4780-8631-4a899c4856be</t>
  </si>
  <si>
    <t>Tarro 1 kg</t>
  </si>
  <si>
    <t>tipo=insumo; área_producción=general; uso_presentación=purchase; fuente_presentación=supplier_primary; sku=INS-LANCCI-000656</t>
  </si>
  <si>
    <t>851346a1-37f5-49a2-addc-f5dd034a4af4</t>
  </si>
  <si>
    <t>Lasaña de la casa</t>
  </si>
  <si>
    <t>tipo=venta; área_producción=general; sku=VEN-LASANA-000621</t>
  </si>
  <si>
    <t>3a3671c4-b09f-4f5f-a721-23e2b9f527f2</t>
  </si>
  <si>
    <t>Lata de Lychees</t>
  </si>
  <si>
    <t>691ed3f8-a744-49ae-8221-980761c7ac5c</t>
  </si>
  <si>
    <t>Lata de 240 g</t>
  </si>
  <si>
    <t>tipo=insumo; área_producción=general; uso_presentación=remission; fuente_presentación=manual; 2 presentación(es) adicional(es) en Supabase; sku=INS-LATADE-000322</t>
  </si>
  <si>
    <t>66b98180-a89f-41f8-b2d9-7b0c4144b0e3</t>
  </si>
  <si>
    <t>Latte</t>
  </si>
  <si>
    <t>tipo=venta; área_producción=general; sku=VEN-LATTE-000684</t>
  </si>
  <si>
    <t>ebe62d81-f211-4b4d-9418-3c0d81ba4a3c</t>
  </si>
  <si>
    <t>LATTE FRIO</t>
  </si>
  <si>
    <t>tipo=venta; área_producción=general; sku=VEN-LATTEF-000958</t>
  </si>
  <si>
    <t>d80789c8-7dba-4138-88c7-3d3c36bf1f83</t>
  </si>
  <si>
    <t>Latte Frío</t>
  </si>
  <si>
    <t>tipo=venta; área_producción=general; sku=VEN-LATTEF-000688</t>
  </si>
  <si>
    <t>16b7d54c-be1d-405f-9573-c51b7e27cce6</t>
  </si>
  <si>
    <t>Latte molka</t>
  </si>
  <si>
    <t>tipo=venta; área_producción=general; sku=VEN-LATTEM-000962</t>
  </si>
  <si>
    <t>767ecc80-9b62-4261-958f-824df5a7e656</t>
  </si>
  <si>
    <t>Laurel</t>
  </si>
  <si>
    <t>26e1441f-3854-4a2c-a90c-a8d699c0601c</t>
  </si>
  <si>
    <t>tipo=insumo; área_producción=general; uso_presentación=general; fuente_presentación=manual; 1 presentación(es) adicional(es) en Supabase; sku=INS-LAUREL-000495</t>
  </si>
  <si>
    <t>756a3ef8-0b17-4f90-8dad-1c9a122510ab</t>
  </si>
  <si>
    <t>Lavaloza</t>
  </si>
  <si>
    <t>44aad2da-c3de-4058-ab17-49995d2946a3</t>
  </si>
  <si>
    <t>tipo=insumo; área_producción=general; uso_presentación=remission; fuente_presentación=manual; 1 presentación(es) adicional(es) en Supabase; sku=INS-LAVAPL-000155</t>
  </si>
  <si>
    <t>3c8f37bd-9c49-48e8-8f3a-e36f625d37e2</t>
  </si>
  <si>
    <t>Lavanda Pisos</t>
  </si>
  <si>
    <t>54bc0ffd-5fd4-4f54-a8b5-3e1b6d423374</t>
  </si>
  <si>
    <t>tipo=insumo; área_producción=general; uso_presentación=remission; fuente_presentación=manual; 2 presentación(es) adicional(es) en Supabase; sku=INS-LAVAND-000138</t>
  </si>
  <si>
    <t>79f60437-28f7-4938-a539-1ae4f6768931</t>
  </si>
  <si>
    <t>Leche condensada</t>
  </si>
  <si>
    <t>bb39ba7e-63e4-4533-a190-071dbeeaa467</t>
  </si>
  <si>
    <t>Pote 4.800 g</t>
  </si>
  <si>
    <t>tipo=insumo; área_producción=general; uso_presentación=remission; fuente_presentación=manual; 2 presentación(es) adicional(es) en Supabase; sku=INS-LECHEC-000344</t>
  </si>
  <si>
    <t>50f9a30f-a98c-404a-8cb4-12dfb5802bc9</t>
  </si>
  <si>
    <t>Leche de Almendras</t>
  </si>
  <si>
    <t>662b16b9-e584-42a1-be3b-2f9a0d37f401</t>
  </si>
  <si>
    <t>Pote 946 ml</t>
  </si>
  <si>
    <t>tipo=insumo; área_producción=general; uso_presentación=remission; fuente_presentación=manual; 2 presentación(es) adicional(es) en Supabase; sku=INS-LECHED-000119</t>
  </si>
  <si>
    <t>54910231-e9b6-4a84-9739-9831bcc5f4a8</t>
  </si>
  <si>
    <t>Leche Deslactosada</t>
  </si>
  <si>
    <t>46c22662-144e-44e7-9347-8fef7f6ecb89</t>
  </si>
  <si>
    <t>Bolsa de 1.100 ml</t>
  </si>
  <si>
    <t>tipo=insumo; área_producción=general; uso_presentación=remission; fuente_presentación=manual; 3 presentación(es) adicional(es) en Supabase; sku=INS-LECHED-000025</t>
  </si>
  <si>
    <t>8a8fb3d4-870d-474d-9cab-0fa2ce5fb610</t>
  </si>
  <si>
    <t>Leche en Polvo</t>
  </si>
  <si>
    <t>cd8ab334-6c08-45ce-8fbc-0e3eafd25d9c</t>
  </si>
  <si>
    <t>tipo=insumo; área_producción=general; uso_presentación=general; fuente_presentación=manual; 2 presentación(es) adicional(es) en Supabase; sku=INS-LECHEE-000323</t>
  </si>
  <si>
    <t>334198ae-c394-48f2-83f5-af515905200b</t>
  </si>
  <si>
    <t>Leche Entera</t>
  </si>
  <si>
    <t>f51f0456-f4be-4910-98fb-126c349e36b9</t>
  </si>
  <si>
    <t>Bolsa de 1100 ml</t>
  </si>
  <si>
    <t>tipo=insumo; área_producción=general; uso_presentación=remission; fuente_presentación=manual; 3 presentación(es) adicional(es) en Supabase; sku=INS-LECHEE-000011</t>
  </si>
  <si>
    <t>f7aff496-6687-4575-b342-30f8fdaeb4f6</t>
  </si>
  <si>
    <t>Leche Klim</t>
  </si>
  <si>
    <t>e929376c-bce8-4845-9587-c4930323cff9</t>
  </si>
  <si>
    <t>Bolsa de 1.200 g</t>
  </si>
  <si>
    <t>tipo=insumo; área_producción=general; uso_presentación=general; fuente_presentación=manual; 2 presentación(es) adicional(es) en Supabase; sku=INS-LECHEK-000602</t>
  </si>
  <si>
    <t>5066913b-c86a-413d-ab5c-e772e94f9b07</t>
  </si>
  <si>
    <t>Lechuga Crespa</t>
  </si>
  <si>
    <t>540298c8-cb13-4371-81e2-6e4f4d7ab97b</t>
  </si>
  <si>
    <t>tipo=insumo; área_producción=general; uso_presentación=general; fuente_presentación=manual; 1 presentación(es) adicional(es) en Supabase; sku=INS-LECHUG-000406</t>
  </si>
  <si>
    <t>579956da-58f4-41fe-bfcc-da0327b79e1e</t>
  </si>
  <si>
    <t>Lechuga Morada</t>
  </si>
  <si>
    <t>0fb55698-63f2-4759-89ea-2d49394a0a97</t>
  </si>
  <si>
    <t>tipo=insumo; área_producción=general; uso_presentación=general; fuente_presentación=manual; 1 presentación(es) adicional(es) en Supabase; sku=INS-LECHUG-000407</t>
  </si>
  <si>
    <t>4aa705b1-54e0-4f6e-ad4f-4ff989ed1580</t>
  </si>
  <si>
    <t>Levadura Fresca</t>
  </si>
  <si>
    <t>c374bb81-097d-438a-9ea6-92f4189a7a14</t>
  </si>
  <si>
    <t>Paquete de 500 g</t>
  </si>
  <si>
    <t>tipo=insumo; área_producción=general; uso_presentación=general; fuente_presentación=manual; 1 presentación(es) adicional(es) en Supabase; sku=INS-LEVADU-000415</t>
  </si>
  <si>
    <t>1a2e70d4-4c5b-455c-ad9e-952d0a6dea16</t>
  </si>
  <si>
    <t>Licuadora industrial 1.9 litros</t>
  </si>
  <si>
    <t>tipo=insumo; área_producción=general; sku=EQP-LICUAD-000543</t>
  </si>
  <si>
    <t>9eac4ffc-87d9-4ef1-8b18-78d394a8c743</t>
  </si>
  <si>
    <t>LICUADORA NINJA</t>
  </si>
  <si>
    <t>tipo=insumo; área_producción=general; sku=EQP-LICUAD-000928</t>
  </si>
  <si>
    <t>645a435b-b29f-45be-a45e-b6958b158b8e</t>
  </si>
  <si>
    <t>Licuadora pallomaro</t>
  </si>
  <si>
    <t>tipo=insumo; área_producción=general; sku=EQP-LICUAD-000975</t>
  </si>
  <si>
    <t>cff5ec9e-3ba6-4b7c-8125-1c4d347fb062</t>
  </si>
  <si>
    <t>Limón Tahiti</t>
  </si>
  <si>
    <t>62297d55-ec1b-4426-a3e1-fa4128bcb535</t>
  </si>
  <si>
    <t>tipo=insumo; área_producción=general; uso_presentación=general; fuente_presentación=manual; 1 presentación(es) adicional(es) en Supabase; sku=INS-LIMONT-000053</t>
  </si>
  <si>
    <t>3efd2636-9f68-4aa0-9780-cff84b9f1ebc</t>
  </si>
  <si>
    <t>Limonada Cerezada</t>
  </si>
  <si>
    <t>tipo=venta; área_producción=general; sku=VEN-LIMONA-000703</t>
  </si>
  <si>
    <t>66ea6ecb-04e5-454b-904c-ff1297c80fa9</t>
  </si>
  <si>
    <t>Limonada de Coco</t>
  </si>
  <si>
    <t>tipo=venta; área_producción=general; sku=VEN-LIMONA-000704</t>
  </si>
  <si>
    <t>58d57dd4-ae8b-4763-adfe-3cc3e8759277</t>
  </si>
  <si>
    <t>Limonada Hierbabuena</t>
  </si>
  <si>
    <t>tipo=venta; área_producción=general; sku=VEN-LIMONA-000701</t>
  </si>
  <si>
    <t>157eec37-e602-4c96-a6db-9e50264c1611</t>
  </si>
  <si>
    <t>Limonada Natural</t>
  </si>
  <si>
    <t>tipo=venta; área_producción=general; sku=VEN-LIMONA-000700</t>
  </si>
  <si>
    <t>7703535d-f449-49c3-93d0-e8bb59071885</t>
  </si>
  <si>
    <t>Limonada Sandía</t>
  </si>
  <si>
    <t>tipo=venta; área_producción=general; sku=VEN-LIMONA-000702</t>
  </si>
  <si>
    <t>d5cb9503-4321-4a27-be83-0f38d0a32880</t>
  </si>
  <si>
    <t>Limpiajuntas</t>
  </si>
  <si>
    <t>2cf3d9a3-8f53-41b9-87fc-7c3b1a7fd092</t>
  </si>
  <si>
    <t>tipo=insumo; área_producción=general; uso_presentación=remission; fuente_presentación=manual; 2 presentación(es) adicional(es) en Supabase; sku=INS-LIMPIA-000518</t>
  </si>
  <si>
    <t>2d1750ae-e575-4fb5-895c-b73a24f8c3f9</t>
  </si>
  <si>
    <t>Limpiavidrios</t>
  </si>
  <si>
    <t>a9fe9c23-241a-49a0-8044-aa3f999332b4</t>
  </si>
  <si>
    <t>tipo=insumo; área_producción=general; uso_presentación=remission; fuente_presentación=manual; 1 presentación(es) adicional(es) en Supabase; sku=INS-LIMPIA-000137</t>
  </si>
  <si>
    <t>cf03a681-adf5-4237-86d9-e4f6079a695c</t>
  </si>
  <si>
    <t>Lomito Vento</t>
  </si>
  <si>
    <t>tipo=venta; área_producción=general; sku=VEN-LOMITO-000753</t>
  </si>
  <si>
    <t>a885404e-cafa-4eef-872a-5016311767a1</t>
  </si>
  <si>
    <t>M&amp;M</t>
  </si>
  <si>
    <t>191ff8ab-a305-40c3-8ad2-9180f101efd9</t>
  </si>
  <si>
    <t>tipo=insumo; área_producción=general; uso_presentación=remission; fuente_presentación=manual; 1 presentación(es) adicional(es) en Supabase; sku=INS-MM-000338</t>
  </si>
  <si>
    <t>d14976bf-280d-4415-947d-05f86dbf843a</t>
  </si>
  <si>
    <t>Macadamias</t>
  </si>
  <si>
    <t>50db1729-8639-4deb-bfe7-9b560283abf3</t>
  </si>
  <si>
    <t>tipo=insumo; área_producción=general; uso_presentación=general; fuente_presentación=manual; 1 presentación(es) adicional(es) en Supabase; sku=INS-MACADA-000645</t>
  </si>
  <si>
    <t>52ccfd8f-e4ea-4cea-8731-308341c1ea48</t>
  </si>
  <si>
    <t>Macarons</t>
  </si>
  <si>
    <t>7f0ae405-afd9-4a17-a282-0801b3a69a7f</t>
  </si>
  <si>
    <t>tipo=venta; área_producción=general; uso_presentación=remission; fuente_presentación=manual; sku=VEN-MACARO-000389</t>
  </si>
  <si>
    <t>2b0c45ee-0e66-4640-ba33-1c843f1b661a</t>
  </si>
  <si>
    <t>Machiato</t>
  </si>
  <si>
    <t>tipo=venta; área_producción=general; sku=VEN-MACHIA-000884</t>
  </si>
  <si>
    <t>fd3be1e3-6319-45b6-9591-f041db3fe9ce</t>
  </si>
  <si>
    <t>Machiatto</t>
  </si>
  <si>
    <t>tipo=venta; área_producción=general; sku=VEN-MACHIA-000685</t>
  </si>
  <si>
    <t>cd7ff907-81b4-4890-a084-779188433ee3</t>
  </si>
  <si>
    <t>Maggi</t>
  </si>
  <si>
    <t>61d56d94-e052-40b9-95d0-30a90ffcef4a</t>
  </si>
  <si>
    <t>Caja de 10 un</t>
  </si>
  <si>
    <t>tipo=insumo; área_producción=general; uso_presentación=general; fuente_presentación=manual; 2 presentación(es) adicional(es) en Supabase; sku=INS-MAGGI-000074</t>
  </si>
  <si>
    <t>53f4f0bd-72d3-48fd-8bcf-e232e6812a15</t>
  </si>
  <si>
    <t>Maiz Dulce</t>
  </si>
  <si>
    <t>8bf54f3e-18b7-49c1-9146-84f84c93cb62</t>
  </si>
  <si>
    <t>tipo=insumo; área_producción=general; uso_presentación=remission; fuente_presentación=manual; 1 presentación(es) adicional(es) en Supabase; sku=INS-MAIZDU-000399</t>
  </si>
  <si>
    <t>43d53991-a87d-47ab-a5d0-4c97f99f8f54</t>
  </si>
  <si>
    <t>Malteada de Café</t>
  </si>
  <si>
    <t>tipo=venta; área_producción=general; sku=VEN-MALTEA-000725</t>
  </si>
  <si>
    <t>f43256f1-10dc-453c-a1f0-13e8180ada54</t>
  </si>
  <si>
    <t>Malteada de Chocolate</t>
  </si>
  <si>
    <t>tipo=venta; área_producción=general; sku=VEN-MALTEA-000724</t>
  </si>
  <si>
    <t>cff7d285-a632-4010-993a-17ea6c9360fb</t>
  </si>
  <si>
    <t>Malteada de Frutos Rojos</t>
  </si>
  <si>
    <t>tipo=venta; área_producción=general; sku=VEN-MALTEA-000727</t>
  </si>
  <si>
    <t>c4cd00f6-b0fe-4180-b8b1-53464bc9b9d3</t>
  </si>
  <si>
    <t>Malteada de Oreo</t>
  </si>
  <si>
    <t>tipo=venta; área_producción=general; sku=VEN-MALTEA-000726</t>
  </si>
  <si>
    <t>d63eff15-bc81-4047-897d-58d1b7abb4ce</t>
  </si>
  <si>
    <t>Malteada de vainilla</t>
  </si>
  <si>
    <t>tipo=venta; área_producción=general; sku=VEN-MALTEA-000723</t>
  </si>
  <si>
    <t>0698a179-2caf-43d7-adc8-de98e7441f22</t>
  </si>
  <si>
    <t>Maltodextrina</t>
  </si>
  <si>
    <t>657df78b-69ed-4e91-8a5d-05b23fd8461e</t>
  </si>
  <si>
    <t>tipo=insumo; área_producción=general; uso_presentación=general; fuente_presentación=manual; 1 presentación(es) adicional(es) en Supabase; sku=INS-MALTOD-000659</t>
  </si>
  <si>
    <t>4042f395-e77d-4ca9-b06d-d111282076c9</t>
  </si>
  <si>
    <t>Mango</t>
  </si>
  <si>
    <t>48093b93-4984-472d-b7bd-1aeba269f998</t>
  </si>
  <si>
    <t>tipo=insumo; área_producción=general; uso_presentación=general; fuente_presentación=manual; 1 presentación(es) adicional(es) en Supabase; sku=INS-MANGO-000054</t>
  </si>
  <si>
    <t>abd73c80-2f64-4425-91fa-d39a375d2162</t>
  </si>
  <si>
    <t>Maní Triturado</t>
  </si>
  <si>
    <t>8827ad75-c019-46b3-bb8e-0279ee2b218f</t>
  </si>
  <si>
    <t>tipo=insumo; área_producción=general; uso_presentación=general; fuente_presentación=manual; 1 presentación(es) adicional(es) en Supabase; sku=INS-MANITR-000324</t>
  </si>
  <si>
    <t>d668c0b8-5d53-4cc3-9334-cafd655d3954</t>
  </si>
  <si>
    <t>Manigueta Molka</t>
  </si>
  <si>
    <t>1763447c-63a4-4ebe-9c08-d2fb5ac8d3ea</t>
  </si>
  <si>
    <t>tipo=insumo; área_producción=general; uso_presentación=remission; fuente_presentación=manual; 1 presentación(es) adicional(es) en Supabase; sku=INS-MANIGU-000912</t>
  </si>
  <si>
    <t>7e4795bb-e129-48d1-83ae-82a0a7cffd24</t>
  </si>
  <si>
    <t>Manigueta Saudo</t>
  </si>
  <si>
    <t>be6a2769-01d6-43d6-b040-6d05a4da947d</t>
  </si>
  <si>
    <t>tipo=insumo; área_producción=general; uso_presentación=remission; fuente_presentación=manual; 1 presentación(es) adicional(es) en Supabase; sku=INS-MANIGU-000911</t>
  </si>
  <si>
    <t>13b7b0ea-9cd6-45ae-a8fd-1035a89d6eea</t>
  </si>
  <si>
    <t>Manigueta Vento</t>
  </si>
  <si>
    <t>07d99d49-61b0-473d-a741-17d43543861b</t>
  </si>
  <si>
    <t>tipo=insumo; área_producción=general; uso_presentación=remission; fuente_presentación=manual; 1 presentación(es) adicional(es) en Supabase; sku=INS-MANIGU-000910</t>
  </si>
  <si>
    <t>17b89c99-fa06-46df-9b7a-4b12bdf7aab5</t>
  </si>
  <si>
    <t>Mantequilla Alpina</t>
  </si>
  <si>
    <t>8396bdc1-37fe-4664-a683-d94a2adeac7a</t>
  </si>
  <si>
    <t>tipo=insumo; área_producción=general; uso_presentación=general; fuente_presentación=manual; 2 presentación(es) adicional(es) en Supabase; sku=INS-MANTEQ-000030</t>
  </si>
  <si>
    <t>9cfba9a7-90bd-4a18-b4ec-ad897a981808</t>
  </si>
  <si>
    <t>Manzana 1500 ml</t>
  </si>
  <si>
    <t>a67d1b4a-a85f-4fe1-bc76-22ee41449cf0</t>
  </si>
  <si>
    <t>tipo=venta; área_producción=general; uso_presentación=remission; fuente_presentación=supplier_primary; 1 presentación(es) adicional(es) en Supabase; sku=VEN-MANZAN-000484</t>
  </si>
  <si>
    <t>f5231dc4-4ca5-40bf-b69f-9b14aafe993b</t>
  </si>
  <si>
    <t>Manzana Pet 400 ml</t>
  </si>
  <si>
    <t>ede11a48-480f-46e5-9101-909a61f2af42</t>
  </si>
  <si>
    <t>tipo=venta; área_producción=general; uso_presentación=remission; fuente_presentación=supplier_primary; 1 presentación(es) adicional(es) en Supabase; sku=VEN-MANZAN-000477</t>
  </si>
  <si>
    <t>3f7c5b37-beb2-4f97-bb1a-0ffab03d9d17</t>
  </si>
  <si>
    <t>Manzana Verde</t>
  </si>
  <si>
    <t>17e32f4b-9033-4c83-9409-73cf18ef4019</t>
  </si>
  <si>
    <t>Bolsa de 1 un</t>
  </si>
  <si>
    <t>tipo=insumo; área_producción=general; uso_presentación=general; fuente_presentación=manual; 1 presentación(es) adicional(es) en Supabase; sku=INS-MANZAN-000055</t>
  </si>
  <si>
    <t>3c60c7ee-5ab3-447c-99ea-0cfaa28a4622</t>
  </si>
  <si>
    <t>Maquina de barquillos</t>
  </si>
  <si>
    <t>tipo=insumo; área_producción=general; sku=EQP-MAQUIN-000980</t>
  </si>
  <si>
    <t>f3c8752c-8347-49b7-b3c3-1891f6583614</t>
  </si>
  <si>
    <t>Maquina de café</t>
  </si>
  <si>
    <t>tipo=insumo; área_producción=general; sku=EQP-MAQUIN-000976</t>
  </si>
  <si>
    <t>8c477c17-2d61-45e6-a76c-efd49ff10120</t>
  </si>
  <si>
    <t>Maquina de helado</t>
  </si>
  <si>
    <t>tipo=insumo; área_producción=general; sku=EQP-MAQUIN-000970</t>
  </si>
  <si>
    <t>f89621bb-04e5-40b9-b338-5a61a9ec2d2a</t>
  </si>
  <si>
    <t>Maquina selladora de bebidas</t>
  </si>
  <si>
    <t>tipo=insumo; área_producción=general; sku=EQP-MAQUIN-000978</t>
  </si>
  <si>
    <t>48f7c975-7582-4f6f-8ea9-c45c70a60c12</t>
  </si>
  <si>
    <t>Maracuyá</t>
  </si>
  <si>
    <t>7e0ef0d4-5df3-4af3-a09f-9196339db25b</t>
  </si>
  <si>
    <t>tipo=insumo; área_producción=general; uso_presentación=general; fuente_presentación=manual; 1 presentación(es) adicional(es) en Supabase; sku=INS-MARACU-000413</t>
  </si>
  <si>
    <t>70bc7be2-8ed6-44d2-9bf5-ac7308f21e53</t>
  </si>
  <si>
    <t>Marañon</t>
  </si>
  <si>
    <t>3d8d1621-44d7-439b-9988-bc566ecc10c9</t>
  </si>
  <si>
    <t>tipo=insumo; área_producción=general; uso_presentación=general; fuente_presentación=manual; 1 presentación(es) adicional(es) en Supabase; sku=INS-MARANO-000644</t>
  </si>
  <si>
    <t>b80ce000-566f-4ea8-b8f0-df3125a04fa3</t>
  </si>
  <si>
    <t>Margarina Da Gusto</t>
  </si>
  <si>
    <t>f875d4b3-92f4-493c-a3e7-1ae3bb5a4ccc</t>
  </si>
  <si>
    <t>Caja de 1 kg</t>
  </si>
  <si>
    <t>tipo=insumo; área_producción=general; uso_presentación=general; fuente_presentación=manual; 2 presentación(es) adicional(es) en Supabase; sku=INS-MARGAR-000190</t>
  </si>
  <si>
    <t>97dcd8e4-b3a2-4f77-8688-5060caccf6a8</t>
  </si>
  <si>
    <t>Marinado de Pollo</t>
  </si>
  <si>
    <t>Marinadas, adobos y salmueras</t>
  </si>
  <si>
    <t>tipo=preparacion; área_producción=general; sku=PRE-MARINA-000422</t>
  </si>
  <si>
    <t>c101e7d5-253f-424a-b67b-eddc7231413a</t>
  </si>
  <si>
    <t>Masa de Pizza 180gr</t>
  </si>
  <si>
    <t>Masas y bases saladas</t>
  </si>
  <si>
    <t>tipo=preparacion; área_producción=general; sku=PRE-MASADE-000081</t>
  </si>
  <si>
    <t>6f207515-d676-4fbd-95b2-2c8431f61b4d</t>
  </si>
  <si>
    <t>Masa de Pizza 250gr</t>
  </si>
  <si>
    <t>tipo=preparacion; área_producción=general; sku=PRE-MASADE-000082</t>
  </si>
  <si>
    <t>da6bd18a-a581-455d-8edb-4784c00bcdd8</t>
  </si>
  <si>
    <t>Masa Madre Caccio Peppe</t>
  </si>
  <si>
    <t>tipo=venta; área_producción=general; sku=VEN-MASAMA-000896</t>
  </si>
  <si>
    <t>c8aa8046-ca46-44f8-9144-84b54a7f61be</t>
  </si>
  <si>
    <t>Masa Madre Canela y Uvas</t>
  </si>
  <si>
    <t>tipo=venta; área_producción=general; sku=VEN-MASAMA-000100</t>
  </si>
  <si>
    <t>85a5be22-d1b3-474b-bb21-3b2a67a97397</t>
  </si>
  <si>
    <t>Masa Madre de Ajo Negro y Miel</t>
  </si>
  <si>
    <t>tipo=venta; área_producción=general; sku=VEN-MASAMA-000107</t>
  </si>
  <si>
    <t>4d561053-6b11-437c-b321-423bb59c3cb9</t>
  </si>
  <si>
    <t>Masa Madre de Ajonjolí</t>
  </si>
  <si>
    <t>tipo=venta; área_producción=general; sku=VEN-MASAMA-000111</t>
  </si>
  <si>
    <t>c187125e-6bee-44f2-a8db-93140d2bebd9</t>
  </si>
  <si>
    <t>Masa Madre de Banano</t>
  </si>
  <si>
    <t>tipo=venta; área_producción=general; sku=VEN-MASAMA-000099</t>
  </si>
  <si>
    <t>52561980-57e4-4048-8b76-585a0ba79fe1</t>
  </si>
  <si>
    <t>Masa Madre de Cacao y Nuez</t>
  </si>
  <si>
    <t>tipo=venta; área_producción=general; sku=VEN-MASAMA-000109</t>
  </si>
  <si>
    <t>7954c32e-5b3b-4a91-b5c3-51893fcf65fc</t>
  </si>
  <si>
    <t>Masa Madre de Nueces y Arándanos</t>
  </si>
  <si>
    <t>tipo=venta; área_producción=general; sku=VEN-MASAMA-000112</t>
  </si>
  <si>
    <t>f6d23dc7-ec12-40f6-aec8-d87410274447</t>
  </si>
  <si>
    <t>Masa Madre de Orégano Parmesano</t>
  </si>
  <si>
    <t>tipo=venta; área_producción=general; sku=VEN-MASAMA-000895</t>
  </si>
  <si>
    <t>832a62a1-b0ce-4d74-807e-6d6dddcb039e</t>
  </si>
  <si>
    <t>Masa Madre de Semillas</t>
  </si>
  <si>
    <t>tipo=venta; área_producción=general; sku=VEN-MASAMA-000853</t>
  </si>
  <si>
    <t>dcb4ce05-1978-4ec1-ae8d-f4ed13bc67a6</t>
  </si>
  <si>
    <t>Masa Madre Multigrano</t>
  </si>
  <si>
    <t>tipo=venta; área_producción=general; sku=VEN-MASAMA-000108</t>
  </si>
  <si>
    <t>79234aa6-720b-4a09-9075-65d6b3a68f00</t>
  </si>
  <si>
    <t>Matcha Caliente</t>
  </si>
  <si>
    <t>tipo=venta; área_producción=general; sku=VEN-MATCHA-000698</t>
  </si>
  <si>
    <t>59446a22-befc-4688-a0ad-c9d36b5d9d19</t>
  </si>
  <si>
    <t>Matcha en Polvo</t>
  </si>
  <si>
    <t>caf14a2c-d6de-4e8b-947f-f940c57ab7b5</t>
  </si>
  <si>
    <t>tipo=insumo; área_producción=general; uso_presentación=remission; fuente_presentación=manual; 1 presentación(es) adicional(es) en Supabase; sku=INS-MATCHA-000146</t>
  </si>
  <si>
    <t>cb798da0-ad73-49ee-8a7b-836c788866b5</t>
  </si>
  <si>
    <t>Matcha Frío</t>
  </si>
  <si>
    <t>tipo=venta; área_producción=general; sku=VEN-MATCHA-000699</t>
  </si>
  <si>
    <t>27890c97-a0a2-4389-ac2d-f2b2a169415c</t>
  </si>
  <si>
    <t>Mayonesa</t>
  </si>
  <si>
    <t>Salsas y Condimentos Líquidos</t>
  </si>
  <si>
    <t>82d0fa85-d2d1-49b4-95d7-e44fe90f4994</t>
  </si>
  <si>
    <t>tipo=insumo; área_producción=general; uso_presentación=remission; fuente_presentación=supplier_primary; 2 presentación(es) adicional(es) en Supabase; sku=INS-MAYONE-000078</t>
  </si>
  <si>
    <t>6c80a1af-a4e2-458e-87c9-ad0660d8abf1</t>
  </si>
  <si>
    <t>Medallones de Lomo 400gr</t>
  </si>
  <si>
    <t>7b69e603-2442-4420-a72b-2f48f7c12f13</t>
  </si>
  <si>
    <t>tipo=preparacion; área_producción=general; uso_presentación=remission; fuente_presentación=manual; sku=PRE-MEDALL-000224</t>
  </si>
  <si>
    <t>d44117f7-f836-4eb5-b43c-53e949ae4cee</t>
  </si>
  <si>
    <t>Media Luna Almendras</t>
  </si>
  <si>
    <t>tipo=venta; área_producción=general; sku=VEN-MEDIAL-000102</t>
  </si>
  <si>
    <t>8fdde401-b30c-499a-811a-8fffdf192b72</t>
  </si>
  <si>
    <t>Media Luna de Chocolate</t>
  </si>
  <si>
    <t>tipo=venta; área_producción=general; sku=VEN-MEDIAL-000106</t>
  </si>
  <si>
    <t>cd759a5c-f6f8-4e10-b907-6cc0624cbfd3</t>
  </si>
  <si>
    <t>Media Luna Pistacho</t>
  </si>
  <si>
    <t>tipo=venta; área_producción=general; sku=VEN-MEDIAL-000103</t>
  </si>
  <si>
    <t>45e30a21-9fa0-4a41-a458-4e9179a4f86d</t>
  </si>
  <si>
    <t>Media Luna Queso Crema y Frutos Rojos</t>
  </si>
  <si>
    <t>tipo=venta; área_producción=general; sku=VEN-MEDIAL-000104</t>
  </si>
  <si>
    <t>d9e3d3e0-7eb7-4835-8b73-726389b85b93</t>
  </si>
  <si>
    <t>Merengues</t>
  </si>
  <si>
    <t>968f9e15-fab4-4b7e-bf61-f3948f87d286</t>
  </si>
  <si>
    <t>tipo=venta; área_producción=general; uso_presentación=remission; fuente_presentación=manual; sku=VEN-MERENG-000388</t>
  </si>
  <si>
    <t>4c72ef9c-aba0-4d1b-9680-ab0c779d5d2f</t>
  </si>
  <si>
    <t>tipo=preparacion; área_producción=general; sku=PRE-MERENG-000335</t>
  </si>
  <si>
    <t>0cba0b8a-793d-4d98-86f9-85e500b07ab0</t>
  </si>
  <si>
    <t>Merenguitos</t>
  </si>
  <si>
    <t>be2af0ba-60ba-4181-95fc-fd2922b27d1f</t>
  </si>
  <si>
    <t>tipo=venta; área_producción=general; uso_presentación=remission; fuente_presentación=manual; sku=VEN-MERENG-000470</t>
  </si>
  <si>
    <t>2ab2c04f-2277-468b-8fce-bcb2df96f691</t>
  </si>
  <si>
    <t>Mermelada de Tocineta</t>
  </si>
  <si>
    <t>tipo=preparacion; área_producción=general; sku=PRE-MERMEL-000225</t>
  </si>
  <si>
    <t>1c7e6df1-8fc9-419d-8281-aff4c2814c83</t>
  </si>
  <si>
    <t>Mesa cuadradas</t>
  </si>
  <si>
    <t>Mobiliario</t>
  </si>
  <si>
    <t>tipo=insumo; área_producción=general; sku=EQP-MESACU-000991</t>
  </si>
  <si>
    <t>dcecf9ad-845f-4406-ba3f-d2ff8cab3144</t>
  </si>
  <si>
    <t>Mesas cuadradas pequeñas</t>
  </si>
  <si>
    <t>tipo=insumo; área_producción=general; sku=EQP-MESASC-000992</t>
  </si>
  <si>
    <t>16b6185d-371f-4f54-94bc-51bf1770f70c</t>
  </si>
  <si>
    <t>Mesas rectangular</t>
  </si>
  <si>
    <t>tipo=insumo; área_producción=general; sku=EQP-MESASR-000993</t>
  </si>
  <si>
    <t>ee7b1680-cf10-45f7-8b30-4709e9767b6b</t>
  </si>
  <si>
    <t>Mezcla Hojuelas + Panko</t>
  </si>
  <si>
    <t>58de94a5-25ba-47fe-9d58-333f5c5beaef</t>
  </si>
  <si>
    <t>tipo=preparacion; área_producción=general; uso_presentación=remission; fuente_presentación=manual; sku=PRE-MEZCLA-000228</t>
  </si>
  <si>
    <t>caddbb71-abc3-459c-afcd-25c4174875d1</t>
  </si>
  <si>
    <t>Mezcla Waffles</t>
  </si>
  <si>
    <t>6a1ee968-079d-492a-b8e3-c357c1e33fbf</t>
  </si>
  <si>
    <t>tipo=preparacion; área_producción=general; uso_presentación=remission; fuente_presentación=manual; sku=PRE-MEZCLA-000227</t>
  </si>
  <si>
    <t>e62a36a2-b0d8-413b-b9fc-89aea36d49d5</t>
  </si>
  <si>
    <t>Mezcladores</t>
  </si>
  <si>
    <t>Mesa</t>
  </si>
  <si>
    <t>8ee49d33-dcf1-4ba6-a088-0a60ec1f2f67</t>
  </si>
  <si>
    <t>Bolsa de 500 un</t>
  </si>
  <si>
    <t>tipo=insumo; área_producción=general; uso_presentación=remission; fuente_presentación=manual; 2 presentación(es) adicional(es) en Supabase; sku=INS-MEZCLA-000141</t>
  </si>
  <si>
    <t>520b9e6a-0b15-4102-bebe-7ed4c33e5fea</t>
  </si>
  <si>
    <t>Miel</t>
  </si>
  <si>
    <t>aa0d29ce-241e-44b5-b7a7-2738eb5535d5</t>
  </si>
  <si>
    <t>tipo=insumo; área_producción=general; uso_presentación=remission; fuente_presentación=supplier_primary; 2 presentación(es) adicional(es) en Supabase; sku=INS-MIEL-000040</t>
  </si>
  <si>
    <t>c350f3bd-ee60-486b-8a0a-c73fb36110f2</t>
  </si>
  <si>
    <t>Miel de Maple</t>
  </si>
  <si>
    <t>Jarabes y Siropes (Syrups)</t>
  </si>
  <si>
    <t>1ba8462a-929f-4172-ba16-3f88395f1375</t>
  </si>
  <si>
    <t>Pote de 1.890 ml</t>
  </si>
  <si>
    <t>tipo=insumo; área_producción=general; uso_presentación=remission; fuente_presentación=manual; 2 presentación(es) adicional(es) en Supabase; sku=INS-MIELDE-000186</t>
  </si>
  <si>
    <t>7f28b4fa-5510-4e0d-8426-b62c3b0a2cd7</t>
  </si>
  <si>
    <t>Miel Peperoncino</t>
  </si>
  <si>
    <t>86b67dd2-66a7-41d7-9ba3-2a4291821b04</t>
  </si>
  <si>
    <t>tipo=preparacion; área_producción=general; uso_presentación=remission; fuente_presentación=manual; sku=PRE-MIELPE-000039</t>
  </si>
  <si>
    <t>0e2796a6-0ac6-4723-b994-0f6a2fd505f2</t>
  </si>
  <si>
    <t>Milhoja Real</t>
  </si>
  <si>
    <t>e71ae6ec-4d89-4e3d-87eb-06fdee69ef8d</t>
  </si>
  <si>
    <t>tipo=venta; área_producción=general; uso_presentación=remission; fuente_presentación=manual; sku=VEN-POSTRE-000367</t>
  </si>
  <si>
    <t>5dae0dde-c0ff-4973-a6e2-7fb09cb980bb</t>
  </si>
  <si>
    <t>Milo</t>
  </si>
  <si>
    <t>c13581cb-800f-42df-90ab-e5cbddfbf84d</t>
  </si>
  <si>
    <t>Bolsa de 1.100 g</t>
  </si>
  <si>
    <t>tipo=insumo; área_producción=general; uso_presentación=remission; fuente_presentación=manual; 3 presentación(es) adicional(es) en Supabase; sku=INS-MILO-000325</t>
  </si>
  <si>
    <t>ba5c20fd-be7b-43a6-b8bb-41d8cf75cea6</t>
  </si>
  <si>
    <t>Milo Frío</t>
  </si>
  <si>
    <t>tipo=venta; área_producción=general; sku=VEN-MILOFR-000694</t>
  </si>
  <si>
    <t>4b6157f5-6aa1-4f71-bce0-40faa0c88171</t>
  </si>
  <si>
    <t>Mini Brownies</t>
  </si>
  <si>
    <t>38e18593-a533-4ade-8f2a-620531da26ee</t>
  </si>
  <si>
    <t>tipo=venta; área_producción=general; uso_presentación=remission; fuente_presentación=manual; sku=VEN-MINIBR-000467</t>
  </si>
  <si>
    <t>e4ef76e3-5330-4c35-834e-8bcbbff95a12</t>
  </si>
  <si>
    <t>Mini Salchichas</t>
  </si>
  <si>
    <t>4bb0641c-f9db-4bc2-80ba-7f435f431cfe</t>
  </si>
  <si>
    <t>Paquete de 20 un</t>
  </si>
  <si>
    <t>tipo=insumo; área_producción=general; uso_presentación=remission; fuente_presentación=manual; 1 presentación(es) adicional(es) en Supabase; sku=INS-MINISA-000194</t>
  </si>
  <si>
    <t>495c8fb1-e018-40a6-871c-4fc0c745635b</t>
  </si>
  <si>
    <t>Mocaccino</t>
  </si>
  <si>
    <t>tipo=venta; área_producción=general; sku=VEN-MOCACC-000687</t>
  </si>
  <si>
    <t>592298f7-3014-49bc-b216-efbc95105bbd</t>
  </si>
  <si>
    <t>Moledora de cafe</t>
  </si>
  <si>
    <t>tipo=insumo; área_producción=general; sku=EQP-MOLEDO-000566</t>
  </si>
  <si>
    <t>dd7cb62e-acd1-4b6c-a1e9-c75563cab732</t>
  </si>
  <si>
    <t>Molino</t>
  </si>
  <si>
    <t>tipo=insumo; área_producción=general; sku=EQP-MOLINO-000533</t>
  </si>
  <si>
    <t>7ce1592c-f22a-433a-bd37-1c6a2ddf35e9</t>
  </si>
  <si>
    <t>Molino de café</t>
  </si>
  <si>
    <t>tipo=insumo; área_producción=general; sku=EQP-MOLINO-000971</t>
  </si>
  <si>
    <t>b3fb12c1-d9e6-4281-bda4-08a65b20141d</t>
  </si>
  <si>
    <t>Mora</t>
  </si>
  <si>
    <t>97eb0a9b-79ef-428d-bab7-da212dcae3aa</t>
  </si>
  <si>
    <t>tipo=insumo; área_producción=general; uso_presentación=general; fuente_presentación=manual; 1 presentación(es) adicional(es) en Supabase; sku=INS-MORA-000498</t>
  </si>
  <si>
    <t>a5fe9438-4675-4965-a328-743fa5611e47</t>
  </si>
  <si>
    <t>Mora Congelada</t>
  </si>
  <si>
    <t>cf355321-d081-4949-af04-8ae7560b4f8c</t>
  </si>
  <si>
    <t>tipo=insumo; área_producción=general; uso_presentación=general; fuente_presentación=manual; 1 presentación(es) adicional(es) en Supabase; sku=INS-MORACO-000672</t>
  </si>
  <si>
    <t>e951e25c-4da1-4464-8de1-d82320737b99</t>
  </si>
  <si>
    <t>Morrillo</t>
  </si>
  <si>
    <t>d75c0507-1f97-441a-a0ed-5ddd1702e66c</t>
  </si>
  <si>
    <t>tipo=insumo; área_producción=general; uso_presentación=general; fuente_presentación=manual; 1 presentación(es) adicional(es) en Supabase; sku=INS-MORRIL-000423</t>
  </si>
  <si>
    <t>9eb22e31-6a1d-4fca-b336-b9a1a0f648d9</t>
  </si>
  <si>
    <t>Mr Tea Durazno 500 ml</t>
  </si>
  <si>
    <t>c3238a69-3dba-4251-8aea-48baf45669f9</t>
  </si>
  <si>
    <t>tipo=venta; área_producción=general; uso_presentación=remission; fuente_presentación=supplier_primary; 1 presentación(es) adicional(es) en Supabase; sku=VEN-MRTEAD-000480</t>
  </si>
  <si>
    <t>5bb1be67-3a4a-440d-9bd0-14a64796c385</t>
  </si>
  <si>
    <t>Mr Tea Limón 500 ml</t>
  </si>
  <si>
    <t>4c3b858d-6410-4d01-b5c6-11961f4d587b</t>
  </si>
  <si>
    <t>tipo=venta; área_producción=general; uso_presentación=remission; fuente_presentación=supplier_primary; 1 presentación(es) adicional(es) en Supabase; sku=VEN-MRTEAL-000479</t>
  </si>
  <si>
    <t>0bee6c8a-c1ed-4e77-94a2-532865652c40</t>
  </si>
  <si>
    <t>Muffin Inglés</t>
  </si>
  <si>
    <t>4bb96310-1414-475d-838f-1238f243a368</t>
  </si>
  <si>
    <t>tipo=preparacion; área_producción=general; uso_presentación=remission; fuente_presentación=manual; sku=PRE-MUFFIN-000197</t>
  </si>
  <si>
    <t>a3fd38d6-4891-4664-9e5b-4a4a63fe3a9f</t>
  </si>
  <si>
    <t>Multifuncional epson</t>
  </si>
  <si>
    <t>tipo=insumo; área_producción=general; sku=EQP-MULTIF-000932</t>
  </si>
  <si>
    <t>3e5ab6a2-e2c3-4477-a73c-d16787500800</t>
  </si>
  <si>
    <t>Naranja Tangelo</t>
  </si>
  <si>
    <t>d1b68d3f-2cc5-4d93-9ecd-7b0e64270b0d</t>
  </si>
  <si>
    <t>tipo=insumo; área_producción=general; uso_presentación=general; fuente_presentación=manual; 1 presentación(es) adicional(es) en Supabase; sku=INS-NARANJ-000056</t>
  </si>
  <si>
    <t>12ad9952-0853-4dda-b78a-37ef16940c34</t>
  </si>
  <si>
    <t>Nevera horizontal</t>
  </si>
  <si>
    <t>tipo=insumo; área_producción=general; sku=EQP-NEVERA-000973</t>
  </si>
  <si>
    <t>3c68e20e-0031-4722-9aa0-1ea2733d4c52</t>
  </si>
  <si>
    <t>Nevera horizontal pallomaro</t>
  </si>
  <si>
    <t>tipo=insumo; área_producción=general; sku=EQP-NEVERA-000938</t>
  </si>
  <si>
    <t>41aba5ca-5b82-48d7-b19f-c614e7d9192f</t>
  </si>
  <si>
    <t>Nuez de Nogal Caramelizada</t>
  </si>
  <si>
    <t>tipo=preparacion; área_producción=general; sku=PRE-NUEZDE-000121</t>
  </si>
  <si>
    <t>82f25679-7f0a-41f7-ba26-41a1526a05fb</t>
  </si>
  <si>
    <t>Nuez Nogal</t>
  </si>
  <si>
    <t>811147f5-c8fa-4168-96db-e5599de021ce</t>
  </si>
  <si>
    <t>tipo=insumo; área_producción=general; uso_presentación=general; fuente_presentación=manual; 1 presentación(es) adicional(es) en Supabase; sku=INS-NUEZNO-000651</t>
  </si>
  <si>
    <t>170dc865-f23d-417f-8ec5-3f8b02696b39</t>
  </si>
  <si>
    <t>Nutella</t>
  </si>
  <si>
    <t>9588dafb-ed1a-410e-aaed-04fa27776c5f</t>
  </si>
  <si>
    <t>Pote 750 g</t>
  </si>
  <si>
    <t>tipo=insumo; área_producción=general; uso_presentación=remission; fuente_presentación=manual; 2 presentación(es) adicional(es) en Supabase; sku=INS-NUTELL-000093</t>
  </si>
  <si>
    <t>3df01931-4806-4c99-9903-407ace277ab1</t>
  </si>
  <si>
    <t>Opción 1</t>
  </si>
  <si>
    <t>tipo=venta; área_producción=general; sku=VEN-OPCION-000967</t>
  </si>
  <si>
    <t>07347e4e-0efd-4f46-828c-767ea7f190cb</t>
  </si>
  <si>
    <t>Opción 2</t>
  </si>
  <si>
    <t>tipo=venta; área_producción=general; sku=VEN-OPCION-000968</t>
  </si>
  <si>
    <t>ab849e38-ec56-4555-9462-ac0f397a759c</t>
  </si>
  <si>
    <t>Opción 3</t>
  </si>
  <si>
    <t>tipo=venta; área_producción=general; sku=VEN-OPCION-000969</t>
  </si>
  <si>
    <t>edb369a7-b937-42b9-9e3d-4e0ae6466070</t>
  </si>
  <si>
    <t>Oregano</t>
  </si>
  <si>
    <t>4d20ad94-3536-43f4-b006-fee1c4bb9b02</t>
  </si>
  <si>
    <t>Bolsa de 100 g</t>
  </si>
  <si>
    <t>tipo=insumo; área_producción=general; uso_presentación=general; fuente_presentación=manual; 1 presentación(es) adicional(es) en Supabase; sku=INS-OREGAN-000023</t>
  </si>
  <si>
    <t>d112410c-8323-4975-a227-4cb3b7f88624</t>
  </si>
  <si>
    <t>Oreo Triturado</t>
  </si>
  <si>
    <t>72e259c2-9ae1-40fe-9a51-07f0245b06ed</t>
  </si>
  <si>
    <t>tipo=insumo; área_producción=general; uso_presentación=remission; fuente_presentación=manual; 2 presentación(es) adicional(es) en Supabase; sku=INS-OREOTR-000326</t>
  </si>
  <si>
    <t>02575aea-4699-4414-a199-6deb1543aad0</t>
  </si>
  <si>
    <t>PALA PIZZA</t>
  </si>
  <si>
    <t>tipo=insumo; área_producción=general; sku=EQP-PALAPI-000814</t>
  </si>
  <si>
    <t>5b7675be-44f5-45cf-9b79-2e7b45b4cce0</t>
  </si>
  <si>
    <t>Paleta de Frutos Rojos</t>
  </si>
  <si>
    <t>tipo=preparacion; área_producción=general; sku=PRE-PALETA-000332</t>
  </si>
  <si>
    <t>0ac6b2e6-3dc8-484c-9627-e04d270e66cb</t>
  </si>
  <si>
    <t>Paleta de Sandía</t>
  </si>
  <si>
    <t>cd9e559a-5111-4318-ac49-626b014ea2e2</t>
  </si>
  <si>
    <t>tipo=preparacion; área_producción=general; uso_presentación=remission; fuente_presentación=manual; sku=PRE-PALETA-000302</t>
  </si>
  <si>
    <t>cc44a954-a3c4-4900-afe8-e53cf39212b6</t>
  </si>
  <si>
    <t>Paleta de Tamarindo</t>
  </si>
  <si>
    <t>b27342a1-cb14-41f2-8a9d-ee237e9d8e56</t>
  </si>
  <si>
    <t>tipo=preparacion; área_producción=general; uso_presentación=remission; fuente_presentación=manual; sku=PRE-PALETA-000303</t>
  </si>
  <si>
    <t>3fb2aa66-6bf8-445f-ad20-8e72c0bd4918</t>
  </si>
  <si>
    <t>Paleta Frutos Amarillos</t>
  </si>
  <si>
    <t>tipo=preparacion; área_producción=general; sku=PRE-PALETA-000333</t>
  </si>
  <si>
    <t>f110b03a-fdb3-4b8d-8cf0-24de9eea98bb</t>
  </si>
  <si>
    <t>Palillo de Bambú</t>
  </si>
  <si>
    <t>005099df-917d-47eb-80cc-6d42dbde6164</t>
  </si>
  <si>
    <t>Bolsa de 100 unidades</t>
  </si>
  <si>
    <t>tipo=insumo; área_producción=general; uso_presentación=remission; fuente_presentación=manual; 3 presentación(es) adicional(es) en Supabase; sku=INS-PALILL-000144</t>
  </si>
  <si>
    <t>4459dce4-7898-45df-83a6-b8b9ba774f87</t>
  </si>
  <si>
    <t>Palillo Extralargo</t>
  </si>
  <si>
    <t>5e26e2a4-2ea4-4b7a-b91b-ebe13f2745e4</t>
  </si>
  <si>
    <t>Caja de 120 un</t>
  </si>
  <si>
    <t>tipo=insumo; área_producción=general; uso_presentación=general; fuente_presentación=manual; 1 presentación(es) adicional(es) en Supabase; sku=INS-PALILL-000887</t>
  </si>
  <si>
    <t>5d5083e4-b0ec-4a67-8329-4a3ed02841bc</t>
  </si>
  <si>
    <t>Palillos Sol</t>
  </si>
  <si>
    <t>00ecf066-9c58-4698-ae39-9442de07eb00</t>
  </si>
  <si>
    <t>Caja de 180 un</t>
  </si>
  <si>
    <t>tipo=insumo; área_producción=general; uso_presentación=general; fuente_presentación=manual; 1 presentación(es) adicional(es) en Supabase; sku=INS-PALILL-000888</t>
  </si>
  <si>
    <t>6dc2ed04-6bde-4b63-9bbb-ce3e9ca01baa</t>
  </si>
  <si>
    <t>Palito de Queso</t>
  </si>
  <si>
    <t>23f81561-504a-4aef-9845-6a61ba3ff224</t>
  </si>
  <si>
    <t>tipo=venta; área_producción=general; uso_presentación=remission; fuente_presentación=manual; sku=VEN-PALITO-000442</t>
  </si>
  <si>
    <t>e752d48c-24e8-41fc-a183-116047814a43</t>
  </si>
  <si>
    <t>Palo de Paleta</t>
  </si>
  <si>
    <t>Vasos y empaques para bebidas</t>
  </si>
  <si>
    <t>0c914a52-2f71-4ab6-b338-1c079d13c86f</t>
  </si>
  <si>
    <t>Paquete de 1.000 un</t>
  </si>
  <si>
    <t>tipo=insumo; área_producción=general; uso_presentación=general; fuente_presentación=manual; 1 presentación(es) adicional(es) en Supabase; sku=INS-PALODE-000614</t>
  </si>
  <si>
    <t>6930bf36-b180-4692-a85b-d32ecea4eb50</t>
  </si>
  <si>
    <t>Pan Baguette Individual</t>
  </si>
  <si>
    <t>ca5d7ed3-ba1e-4a1f-a418-0bfa189f2f29</t>
  </si>
  <si>
    <t>tipo=preparacion; área_producción=general; uso_presentación=remission; fuente_presentación=manual; sku=PRE-PANBAG-000202</t>
  </si>
  <si>
    <t>3a0e52d3-2270-46b8-b44b-658951f13f02</t>
  </si>
  <si>
    <t>Pan Baguette Tapitas</t>
  </si>
  <si>
    <t>3e99339a-7cd6-45ba-a881-c38a38946c38</t>
  </si>
  <si>
    <t>tipo=preparacion; área_producción=general; uso_presentación=remission; fuente_presentación=manual; sku=PRE-PANBAG-000198</t>
  </si>
  <si>
    <t>20404142-4dfd-4581-a719-4b150f194bc2</t>
  </si>
  <si>
    <t>Pan Brioche Grande</t>
  </si>
  <si>
    <t>Cultivos y masas madre</t>
  </si>
  <si>
    <t>tipo=preparacion; área_producción=general; sku=PRE-PANBRI-000527</t>
  </si>
  <si>
    <t>5ab51665-1187-4800-92dd-b27f74b666ca</t>
  </si>
  <si>
    <t>Pan Ciabatta</t>
  </si>
  <si>
    <t>6c1fbde7-2de9-4680-89ff-869c9cc02192</t>
  </si>
  <si>
    <t>tipo=preparacion; área_producción=general; uso_presentación=remission; fuente_presentación=manual; sku=PRE-PANCIA-000200</t>
  </si>
  <si>
    <t>bc4f7715-92a2-432e-a838-0a7560278510</t>
  </si>
  <si>
    <t>Pan de Bono Bocadillo</t>
  </si>
  <si>
    <t>05b4b025-7da4-474a-8658-30f05aca0c8f</t>
  </si>
  <si>
    <t>tipo=venta; área_producción=general; uso_presentación=remission; fuente_presentación=manual; sku=VEN-PANDEB-000434</t>
  </si>
  <si>
    <t>b41b4d6b-0965-417b-baac-755e1f0cb22b</t>
  </si>
  <si>
    <t>Pan de Bono Tradicional</t>
  </si>
  <si>
    <t>97ef7f1b-24e2-42ed-ba1a-ecb39d1ba60f</t>
  </si>
  <si>
    <t>tipo=venta; área_producción=general; uso_presentación=remission; fuente_presentación=manual; sku=VEN-PANDEB-000433</t>
  </si>
  <si>
    <t>9e03ae2e-cd56-4978-9a8c-f9da2d0732e1</t>
  </si>
  <si>
    <t>Pan de Coco</t>
  </si>
  <si>
    <t>73f0616e-2bf2-4b39-b0fb-2f29e05a3b2d</t>
  </si>
  <si>
    <t>tipo=venta; área_producción=general; uso_presentación=remission; fuente_presentación=manual; sku=VEN-PANDEC-000443</t>
  </si>
  <si>
    <t>d0db8b4e-f761-4610-beab-8b47ef28d040</t>
  </si>
  <si>
    <t>Pan de Coco Pequeño</t>
  </si>
  <si>
    <t>8baf8721-8447-44ee-9075-e90c40ff22df</t>
  </si>
  <si>
    <t>tipo=venta; área_producción=general; uso_presentación=remission; fuente_presentación=manual; sku=VEN-PANDEC-000444</t>
  </si>
  <si>
    <t>825eda73-92c7-4835-8b95-577a146358f2</t>
  </si>
  <si>
    <t>Pan de Espinaca y Queso Feta</t>
  </si>
  <si>
    <t>tipo=venta; área_producción=general; sku=VEN-MEDIAL-000105</t>
  </si>
  <si>
    <t>e72f9470-889e-42ce-a0d5-77175d039ae3</t>
  </si>
  <si>
    <t>Pan de Mantequilla</t>
  </si>
  <si>
    <t>39fb2cc7-c79f-42f1-9d8c-f106aa3f7834</t>
  </si>
  <si>
    <t>tipo=venta; área_producción=general; uso_presentación=remission; fuente_presentación=manual; sku=VEN-PANDEM-000445</t>
  </si>
  <si>
    <t>cd6bb24a-efed-4784-9664-5c06731421a3</t>
  </si>
  <si>
    <t>Pan de Papa Redondo (Hamburguesa)</t>
  </si>
  <si>
    <t>a5fc26b2-f0f6-44fd-bb92-8e9ef588acaf</t>
  </si>
  <si>
    <t>tipo=preparacion; área_producción=general; uso_presentación=remission; fuente_presentación=manual; sku=PRE-PANDEP-000201</t>
  </si>
  <si>
    <t>7f30ee61-0343-41fb-8d30-518fcaf18bae</t>
  </si>
  <si>
    <t>Pan de Queso Gratinado Grande</t>
  </si>
  <si>
    <t>cadc4f46-c621-4278-accd-c762617aa323</t>
  </si>
  <si>
    <t>tipo=venta; área_producción=general; uso_presentación=remission; fuente_presentación=manual; sku=VEN-PANDEQ-000446</t>
  </si>
  <si>
    <t>8098883f-6d00-4065-be38-d5206bd6111a</t>
  </si>
  <si>
    <t>Pan de Queso Gratinado Pequeño</t>
  </si>
  <si>
    <t>778a8c20-8676-48fb-93ad-f31fb22cb2ee</t>
  </si>
  <si>
    <t>tipo=venta; área_producción=general; uso_presentación=remission; fuente_presentación=manual; sku=VEN-PANDEQ-000447</t>
  </si>
  <si>
    <t>926ee65f-d0fb-4f6a-9544-09fee3677ad1</t>
  </si>
  <si>
    <t>Pan Masa Madre Clásico</t>
  </si>
  <si>
    <t>tipo=venta; área_producción=general; sku=VEN-PANMAS-000110</t>
  </si>
  <si>
    <t>0bca043c-223c-44a6-99f3-fed8105fb15f</t>
  </si>
  <si>
    <t>Pan Tostada Francesa</t>
  </si>
  <si>
    <t>tipo=preparacion; área_producción=general; sku=PRE-PANTOS-000203</t>
  </si>
  <si>
    <t>dbf324bf-bda5-44f3-9166-77ae58614784</t>
  </si>
  <si>
    <t>Pancakes o Waffles Salados</t>
  </si>
  <si>
    <t>tipo=venta; área_producción=general; sku=VEN-PANCAK-000749</t>
  </si>
  <si>
    <t>3f5d2bd0-4ac7-42bf-a05c-88c9a27d056f</t>
  </si>
  <si>
    <t>Pancakes, Waffles o Tostadas Francesas Dulces</t>
  </si>
  <si>
    <t>tipo=venta; área_producción=general; sku=VEN-PANCAK-000748</t>
  </si>
  <si>
    <t>786c4d51-fa92-4a99-ba68-9bc5b1b01bf1</t>
  </si>
  <si>
    <t>Panko</t>
  </si>
  <si>
    <t>f32f20fd-dbd0-4f27-a75a-347d098d9e5a</t>
  </si>
  <si>
    <t>tipo=insumo; área_producción=general; uso_presentación=remission; fuente_presentación=manual; 2 presentación(es) adicional(es) en Supabase; sku=INS-PANKO-000026</t>
  </si>
  <si>
    <t>99801779-b9e6-4e8f-ae1c-f7bc85091c7c</t>
  </si>
  <si>
    <t>Panna Alpina</t>
  </si>
  <si>
    <t>2288893c-cde8-4274-8194-1e73d15fdb6e</t>
  </si>
  <si>
    <t>tipo=insumo; área_producción=general; uso_presentación=remission; fuente_presentación=manual; 1 presentación(es) adicional(es) en Supabase; sku=INS-PANALP-000297</t>
  </si>
  <si>
    <t>5bf34c41-b1fa-47a1-b358-b399085bbdad</t>
  </si>
  <si>
    <t>Paño de Microfibra</t>
  </si>
  <si>
    <t>Textiles</t>
  </si>
  <si>
    <t>f80a15d2-e705-4500-9179-1d66ae71d6d7</t>
  </si>
  <si>
    <t>Paño</t>
  </si>
  <si>
    <t>tipo=insumo; área_producción=general; uso_presentación=remission; fuente_presentación=manual; 3 presentación(es) adicional(es) en Supabase; sku=INS-PANODE-000473</t>
  </si>
  <si>
    <t>03f08229-33eb-411f-93d5-4591b7ced037</t>
  </si>
  <si>
    <t>Papa Crispier</t>
  </si>
  <si>
    <t>11d15e68-85f8-4d64-b83c-8822372a3ea7</t>
  </si>
  <si>
    <t>tipo=insumo; área_producción=general; uso_presentación=remission; fuente_presentación=manual; 2 presentación(es) adicional(es) en Supabase; sku=INS-PAPACA-000077</t>
  </si>
  <si>
    <t>d79d4bbe-bf38-4819-86ac-cf82c613351c</t>
  </si>
  <si>
    <t>Papa Francesa</t>
  </si>
  <si>
    <t>bb738782-4da5-4068-9082-b48b3026212a</t>
  </si>
  <si>
    <t>tipo=insumo; área_producción=general; uso_presentación=remission; fuente_presentación=manual; 2 presentación(es) adicional(es) en Supabase; sku=INS-PAPAPR-000076</t>
  </si>
  <si>
    <t>ab52bb0c-0dd0-4e87-9cf2-7621ecbc9466</t>
  </si>
  <si>
    <t>Papa Hash 150gr</t>
  </si>
  <si>
    <t>tipo=preparacion; área_producción=general; sku=PRE-PAPAHA-000241</t>
  </si>
  <si>
    <t>4b35a4bf-ff04-4e25-a15a-2ba2bfa19e2a</t>
  </si>
  <si>
    <t>Papel Aluminio 100mt</t>
  </si>
  <si>
    <t>Papeles</t>
  </si>
  <si>
    <t>c446b2fe-0593-451f-a309-8c14f03de75b</t>
  </si>
  <si>
    <t>Caja de 1 un</t>
  </si>
  <si>
    <t>tipo=insumo; área_producción=general; uso_presentación=remission; fuente_presentación=manual; 1 presentación(es) adicional(es) en Supabase; sku=INS-PAPELA-000284</t>
  </si>
  <si>
    <t>bc749d13-196f-40af-ae3d-82b1ade1d609</t>
  </si>
  <si>
    <t>Papel Higiénico</t>
  </si>
  <si>
    <t>59c72fe8-c0fe-4514-b91d-3533e2882674</t>
  </si>
  <si>
    <t>Rollo</t>
  </si>
  <si>
    <t>tipo=insumo; área_producción=general; uso_presentación=remission; fuente_presentación=manual; 2 presentación(es) adicional(es) en Supabase; sku=INS-PAPELH-000160</t>
  </si>
  <si>
    <t>680defe4-b1b4-4012-be98-0e71c08ac623</t>
  </si>
  <si>
    <t>Papel Parafinado 24*24 Saudo</t>
  </si>
  <si>
    <t>f7a2d676-f34c-444a-9369-8caee482d08e</t>
  </si>
  <si>
    <t>tipo=insumo; área_producción=general; uso_presentación=remission; fuente_presentación=manual; 1 presentación(es) adicional(es) en Supabase; sku=INS-PAPELP-000131</t>
  </si>
  <si>
    <t>db5890f4-69d9-4d02-8484-811772185b7e</t>
  </si>
  <si>
    <t>Papel Parafinado 30*30 Saudo</t>
  </si>
  <si>
    <t>b47ed5a6-004f-458d-986f-1ebee8b5dcdd</t>
  </si>
  <si>
    <t>tipo=insumo; área_producción=general; uso_presentación=remission; fuente_presentación=manual; 1 presentación(es) adicional(es) en Supabase; sku=INS-PAPELP-000130</t>
  </si>
  <si>
    <t>ae28894f-672f-4c49-9725-38917f851083</t>
  </si>
  <si>
    <t>Papel Parafinado Molka</t>
  </si>
  <si>
    <t>e252e4cf-9c44-45b1-8be4-e0b1be0c8cda</t>
  </si>
  <si>
    <t>tipo=insumo; área_producción=general; uso_presentación=remission; fuente_presentación=manual; 2 presentación(es) adicional(es) en Supabase; sku=INS-PAPELP-000502</t>
  </si>
  <si>
    <t>09f17bf2-3aff-4771-9164-45ae6b976202</t>
  </si>
  <si>
    <t>Papel Parafinado Vento</t>
  </si>
  <si>
    <t>861029a1-f3bd-44c5-b974-f325f5489edb</t>
  </si>
  <si>
    <t>tipo=insumo; área_producción=general; uso_presentación=remission; fuente_presentación=manual; 1 presentación(es) adicional(es) en Supabase; sku=INS-PAPELP-000274</t>
  </si>
  <si>
    <t>8a38e8a4-cc27-4060-aa4f-a82f378c5e95</t>
  </si>
  <si>
    <t>Papel Pergamino</t>
  </si>
  <si>
    <t>ddd1847d-5eda-449e-b846-2fb515751716</t>
  </si>
  <si>
    <t>tipo=insumo; área_producción=general; uso_presentación=general; fuente_presentación=manual; 1 presentación(es) adicional(es) en Supabase; sku=INS-PAPELP-000582</t>
  </si>
  <si>
    <t>463273fc-26b1-4c73-8701-c5ba1bc57095</t>
  </si>
  <si>
    <t>Papel Térmico</t>
  </si>
  <si>
    <t>bae70f46-8c3b-4b78-9f53-f593b436ce51</t>
  </si>
  <si>
    <t>tipo=insumo; área_producción=general; uso_presentación=remission; fuente_presentación=manual; 2 presentación(es) adicional(es) en Supabase; sku=INS-PAPELT-000251</t>
  </si>
  <si>
    <t>14b2145c-7b22-4be6-8e51-72e6713a4568</t>
  </si>
  <si>
    <t>Papitas Pulled</t>
  </si>
  <si>
    <t>tipo=venta; área_producción=general; sku=VEN-PAPITA-000734</t>
  </si>
  <si>
    <t>3c0ab052-beee-43bb-abb0-cb6f75c4c4e2</t>
  </si>
  <si>
    <t>Papitas vento</t>
  </si>
  <si>
    <t>tipo=venta; área_producción=general; sku=VEN-PAPITA-000966</t>
  </si>
  <si>
    <t>5c959efc-34aa-4f0b-9aee-b32a6fce973a</t>
  </si>
  <si>
    <t>Paprika</t>
  </si>
  <si>
    <t>cfbefa4f-83a0-45e3-baf1-335e8862855c</t>
  </si>
  <si>
    <t>tipo=insumo; área_producción=general; uso_presentación=general; fuente_presentación=manual; 1 presentación(es) adicional(es) en Supabase; sku=INS-PAPRIK-000213</t>
  </si>
  <si>
    <t>a29343f8-2515-48db-bfeb-54d96671a9a8</t>
  </si>
  <si>
    <t>Pasta de Ajo Negro</t>
  </si>
  <si>
    <t>082794f2-3f8d-48f8-9340-cddb30f4050a</t>
  </si>
  <si>
    <t>Tarro 226 g</t>
  </si>
  <si>
    <t>tipo=insumo; área_producción=general; uso_presentación=general; fuente_presentación=manual; 1 presentación(es) adicional(es) en Supabase; sku=INS-PASTAD-000638</t>
  </si>
  <si>
    <t>abd93287-bd75-4b92-9bda-8f520c8e3ad2</t>
  </si>
  <si>
    <t>Pasta de Vainilla</t>
  </si>
  <si>
    <t>83d52994-1f30-4e0a-b12d-9203d46ccc6a</t>
  </si>
  <si>
    <t>tipo=insumo; área_producción=general; uso_presentación=general; fuente_presentación=manual; 1 presentación(es) adicional(es) en Supabase; sku=INS-PASTAD-000420</t>
  </si>
  <si>
    <t>3cc5946c-d512-41a1-bc47-084bf288df8d</t>
  </si>
  <si>
    <t>Pastaroma Limón</t>
  </si>
  <si>
    <t>bd043492-da18-47bf-b444-20c8192c03b1</t>
  </si>
  <si>
    <t>tipo=insumo; área_producción=general; uso_presentación=general; fuente_presentación=manual; 1 presentación(es) adicional(es) en Supabase; sku=INS-PASTAR-000597</t>
  </si>
  <si>
    <t>45e5621a-6dc5-41c1-aba6-242562fdb9f3</t>
  </si>
  <si>
    <t>Pastillas Azules Baño</t>
  </si>
  <si>
    <t>01b63bc5-3bad-41c0-979b-8fd7c2c8363e</t>
  </si>
  <si>
    <t>Pote 4 un</t>
  </si>
  <si>
    <t>tipo=insumo; área_producción=general; uso_presentación=remission; fuente_presentación=manual; 1 presentación(es) adicional(es) en Supabase; sku=INS-PASTIL-000165</t>
  </si>
  <si>
    <t>80d86886-cd23-4b32-acbf-e3d64f78246a</t>
  </si>
  <si>
    <t>Patatas Bravas</t>
  </si>
  <si>
    <t>tipo=venta; área_producción=general; sku=VEN-PATATA-000733</t>
  </si>
  <si>
    <t>912f5964-0274-4401-9a23-9b0ce3fa5768</t>
  </si>
  <si>
    <t>Patilla</t>
  </si>
  <si>
    <t>05597433-7385-491d-b8ec-2bf0c0e2bf5e</t>
  </si>
  <si>
    <t>tipo=insumo; área_producción=general; uso_presentación=general; fuente_presentación=manual; 1 presentación(es) adicional(es) en Supabase; sku=INS-PATILL-000499</t>
  </si>
  <si>
    <t>3be5bc70-889a-439e-83b3-cc0130dc42fb</t>
  </si>
  <si>
    <t>Peach Bliss</t>
  </si>
  <si>
    <t>tipo=venta; área_producción=general; sku=VEN-PEACHB-000721</t>
  </si>
  <si>
    <t>74784215-209a-4f58-ab63-dcfb8275e6a0</t>
  </si>
  <si>
    <t>Pecanas</t>
  </si>
  <si>
    <t>2f55d3e6-cda7-414e-a76c-8b82991c1c89</t>
  </si>
  <si>
    <t>Bolsa de 907 g</t>
  </si>
  <si>
    <t>tipo=insumo; área_producción=general; uso_presentación=general; fuente_presentación=manual; 1 presentación(es) adicional(es) en Supabase; sku=INS-PECANA-000585</t>
  </si>
  <si>
    <t>f80f232e-46e1-4e5a-a404-4579a1b72c44</t>
  </si>
  <si>
    <t>Pechuga de Pollo</t>
  </si>
  <si>
    <t>Aves</t>
  </si>
  <si>
    <t>961ace7e-0319-43aa-8c20-838115d8842e</t>
  </si>
  <si>
    <t>tipo=insumo; área_producción=general; uso_presentación=general; fuente_presentación=manual; 1 presentación(es) adicional(es) en Supabase; sku=INS-PECHUG-000044</t>
  </si>
  <si>
    <t>e4bf3ee1-018c-43ae-a595-7887930b9d3e</t>
  </si>
  <si>
    <t>Pepino Encurtido</t>
  </si>
  <si>
    <t>tipo=preparacion; área_producción=general; sku=PRE-PEPINO-000229</t>
  </si>
  <si>
    <t>ce7063ef-c60d-48ad-b253-346d9a99368a</t>
  </si>
  <si>
    <t>Pepperoni</t>
  </si>
  <si>
    <t>8aee332a-7715-4e57-b143-9d5a2513b99f</t>
  </si>
  <si>
    <t>Paquete de 250 un</t>
  </si>
  <si>
    <t>tipo=insumo; área_producción=general; uso_presentación=remission; fuente_presentación=manual; 2 presentación(es) adicional(es) en Supabase; sku=INS-PEPPER-000016</t>
  </si>
  <si>
    <t>4e6aeb69-e923-407e-924e-33f2c1cc9f11</t>
  </si>
  <si>
    <t>Pepsi 1500 ml</t>
  </si>
  <si>
    <t>85ae1ddb-45fa-4690-9ebe-03722cabe1bc</t>
  </si>
  <si>
    <t>tipo=venta; área_producción=general; uso_presentación=remission; fuente_presentación=supplier_primary; 1 presentación(es) adicional(es) en Supabase; sku=VEN-PEPSI1-000485</t>
  </si>
  <si>
    <t>4b990726-0c1e-4b4a-996d-3544017ea6ed</t>
  </si>
  <si>
    <t>Pepsi Pet 400 ml</t>
  </si>
  <si>
    <t>0d6e5ab7-358d-417b-96df-da648721646f</t>
  </si>
  <si>
    <t>tipo=venta; área_producción=general; uso_presentación=remission; fuente_presentación=supplier_primary; 1 presentación(es) adicional(es) en Supabase; sku=VEN-PEPSIP-000478</t>
  </si>
  <si>
    <t>d064c496-2979-4433-a103-52d25723333c</t>
  </si>
  <si>
    <t>Pera</t>
  </si>
  <si>
    <t>486f744c-06a4-4d8c-9947-8fbdaa8bc322</t>
  </si>
  <si>
    <t>tipo=insumo; área_producción=general; uso_presentación=general; fuente_presentación=manual; 1 presentación(es) adicional(es) en Supabase; sku=INS-PERA-000057</t>
  </si>
  <si>
    <t>5b755dfb-ef2e-4e95-94c2-77eaf3ecf46a</t>
  </si>
  <si>
    <t>Peras Caramelizadas</t>
  </si>
  <si>
    <t>tipo=preparacion; área_producción=general; sku=PRE-PERASC-000892</t>
  </si>
  <si>
    <t>4437740c-2f53-43c7-ae41-0e8e82983f64</t>
  </si>
  <si>
    <t>Perejil Crespo</t>
  </si>
  <si>
    <t>9f60a4e1-1a8d-402d-914f-578dbedc6661</t>
  </si>
  <si>
    <t>tipo=insumo; área_producción=general; uso_presentación=general; fuente_presentación=manual; 1 presentación(es) adicional(es) en Supabase; sku=INS-PEREJI-000048</t>
  </si>
  <si>
    <t>f5f35543-9667-4936-87bd-e732a88952ac</t>
  </si>
  <si>
    <t>Perlas de Chocolate</t>
  </si>
  <si>
    <t>f0941906-ea8f-4718-a97b-99af332aa437</t>
  </si>
  <si>
    <t>tipo=insumo; área_producción=general; uso_presentación=remission; fuente_presentación=manual; 1 presentación(es) adicional(es) en Supabase; sku=INS-PERLAS-000339</t>
  </si>
  <si>
    <t>10f56d50-1339-4aac-8710-7ff4bf2b9af9</t>
  </si>
  <si>
    <t>Pesto</t>
  </si>
  <si>
    <t>e46180d8-2d89-45f7-ad8d-07c4440665e6</t>
  </si>
  <si>
    <t>Porción de receta</t>
  </si>
  <si>
    <t>tipo=preparacion; área_producción=general; uso_presentación=remission; fuente_presentación=recipe_portion; sku=PRE-PESTO-000088</t>
  </si>
  <si>
    <t>8b6840ab-f5d6-47a1-abc7-121fe5afee3c</t>
  </si>
  <si>
    <t>PIMENTERO</t>
  </si>
  <si>
    <t>tipo=insumo; área_producción=general; sku=EQP-PIMENT-000847</t>
  </si>
  <si>
    <t>60de0762-6de5-46b7-b9c4-48871c4e8b8c</t>
  </si>
  <si>
    <t>Pimentón Amarillo</t>
  </si>
  <si>
    <t>727e3eab-edcc-4e42-a4db-de41b82eae1f</t>
  </si>
  <si>
    <t>tipo=insumo; área_producción=general; uso_presentación=general; fuente_presentación=manual; 1 presentación(es) adicional(es) en Supabase; sku=INS-PIMENT-000403</t>
  </si>
  <si>
    <t>66e3cccf-4391-433f-ba79-d507d8d1dcbf</t>
  </si>
  <si>
    <t>Pimentón Rojo</t>
  </si>
  <si>
    <t>83a3822c-3f79-4ca5-b70e-4ec4bac15963</t>
  </si>
  <si>
    <t>tipo=insumo; área_producción=general; uso_presentación=general; fuente_presentación=manual; 1 presentación(es) adicional(es) en Supabase; sku=INS-PIMENT-000410</t>
  </si>
  <si>
    <t>7adcd1b5-7109-4aa0-9510-583584af68da</t>
  </si>
  <si>
    <t>Pimentones Escalivados</t>
  </si>
  <si>
    <t>9765c3cd-1efe-4ba5-a8b6-c3aa8448848d</t>
  </si>
  <si>
    <t>tipo=preparacion; área_producción=general; uso_presentación=remission; fuente_presentación=recipe_portion; sku=PRE-PIMENT-000090</t>
  </si>
  <si>
    <t>3d0c0d40-48a4-43ca-9dbc-b5f00ea0086c</t>
  </si>
  <si>
    <t>Pimienta Negra en Pepa</t>
  </si>
  <si>
    <t>9d78ec65-9e20-47b5-b64b-455356ed3564</t>
  </si>
  <si>
    <t>tipo=insumo; área_producción=general; uso_presentación=general; fuente_presentación=manual; 1 presentación(es) adicional(es) en Supabase; sku=INS-PIMIEN-000212</t>
  </si>
  <si>
    <t>94122215-9080-45e1-b617-2c5c1263f693</t>
  </si>
  <si>
    <t>Piña Gol</t>
  </si>
  <si>
    <t>7a4c6813-b871-4172-a8b5-9758730e8200</t>
  </si>
  <si>
    <t>tipo=insumo; área_producción=general; uso_presentación=general; fuente_presentación=manual; 1 presentación(es) adicional(es) en Supabase; sku=INS-PINAGO-000409</t>
  </si>
  <si>
    <t>0ab74a32-a4e0-436a-8cd1-bf990df0bdf0</t>
  </si>
  <si>
    <t>Piñas Asadas</t>
  </si>
  <si>
    <t>tipo=preparacion; área_producción=general; sku=PRE-PINASA-000084</t>
  </si>
  <si>
    <t>edf11207-e643-496d-9edb-fb78366fc095</t>
  </si>
  <si>
    <t>PINCEL DE BARRA</t>
  </si>
  <si>
    <t>tipo=insumo; área_producción=general; sku=EQP-PINCEL-000849</t>
  </si>
  <si>
    <t>59bf5bb8-b918-4135-8eb1-2989dd8bbdb3</t>
  </si>
  <si>
    <t>PINCHOS COMANDAS</t>
  </si>
  <si>
    <t>tipo=insumo; área_producción=general; sku=EQP-PINCHO-000793</t>
  </si>
  <si>
    <t>9c1e4cd6-59b4-4c1a-8550-c546ae169e24</t>
  </si>
  <si>
    <t>Pinchos Festival</t>
  </si>
  <si>
    <t>c84f03a0-c7e5-415d-bfaf-f617b84dca31</t>
  </si>
  <si>
    <t>tipo=insumo; área_producción=general; uso_presentación=general; fuente_presentación=manual; 1 presentación(es) adicional(es) en Supabase; sku=INS-PINCHO-000891</t>
  </si>
  <si>
    <t>759f2fd6-e54c-476e-96dd-75701723cad3</t>
  </si>
  <si>
    <t>PINZAS</t>
  </si>
  <si>
    <t>tipo=insumo; área_producción=general; sku=EQP-PINZAS-000819</t>
  </si>
  <si>
    <t>14ac55aa-9aba-47d4-b1a3-62ce3fcb5a90</t>
  </si>
  <si>
    <t>Pionono de Arequipe</t>
  </si>
  <si>
    <t>5492c7ed-038c-4246-a3a6-e6fbb667fb34</t>
  </si>
  <si>
    <t>tipo=venta; área_producción=general; uso_presentación=remission; fuente_presentación=manual; sku=VEN-PIONON-000461</t>
  </si>
  <si>
    <t>ba0bbdc7-681d-437c-bbbb-0f0a329747b6</t>
  </si>
  <si>
    <t>Pistacho</t>
  </si>
  <si>
    <t>5cb1ee07-7818-4a74-aa50-701ae07490f4</t>
  </si>
  <si>
    <t>Bolsa de 680 g</t>
  </si>
  <si>
    <t>tipo=insumo; área_producción=general; uso_presentación=remission; fuente_presentación=manual; 3 presentación(es) adicional(es) en Supabase; sku=INS-PISTAC-000606</t>
  </si>
  <si>
    <t>ce6a0e8b-53fc-4c96-bd06-2b1b344d8a86</t>
  </si>
  <si>
    <t>Pistacho Dream</t>
  </si>
  <si>
    <t>tipo=venta; área_producción=general; sku=VEN-PISTAC-000722</t>
  </si>
  <si>
    <t>154c46df-323a-453b-8441-d3754284fa71</t>
  </si>
  <si>
    <t>Pistacho milk cake</t>
  </si>
  <si>
    <t>tipo=venta; área_producción=general; sku=VEN-PISTAC-000882</t>
  </si>
  <si>
    <t>47641fc1-3ffb-4d9f-9b9b-849aa65964b2</t>
  </si>
  <si>
    <t>Pitillos de Bambú</t>
  </si>
  <si>
    <t>3227fd00-27ce-40a4-8c0e-8573d6c74fd2</t>
  </si>
  <si>
    <t>tipo=insumo; área_producción=general; uso_presentación=remission; fuente_presentación=manual; 2 presentación(es) adicional(es) en Supabase; sku=INS-PITILL-000140</t>
  </si>
  <si>
    <t>eece0e53-893c-4621-afa6-740c40afad77</t>
  </si>
  <si>
    <t>Pitillos plastico colores</t>
  </si>
  <si>
    <t>7e456e4e-f23a-4407-8123-f35425a10994</t>
  </si>
  <si>
    <t>tipo=insumo; área_producción=general; uso_presentación=remission; fuente_presentación=manual; 1 presentación(es) adicional(es) en Supabase; sku=INS-PITILL-000629</t>
  </si>
  <si>
    <t>5597e2af-b261-4220-8e9e-fe4e69f17c5f</t>
  </si>
  <si>
    <t>Pitillos plastico negros</t>
  </si>
  <si>
    <t>14c7dcbc-6170-4a16-aa62-9aa8a31a2b32</t>
  </si>
  <si>
    <t>tipo=insumo; área_producción=general; uso_presentación=remission; fuente_presentación=manual; 1 presentación(es) adicional(es) en Supabase; sku=INS-PITILL-000400</t>
  </si>
  <si>
    <t>cfadeb54-decf-42c1-9f0b-efa78ba205e1</t>
  </si>
  <si>
    <t>Pizza aloha ma</t>
  </si>
  <si>
    <t>tipo=venta; área_producción=general; sku=VEN-PIZZAA-000858</t>
  </si>
  <si>
    <t>b5a90996-1f6f-4452-86ca-5c5efef2f092</t>
  </si>
  <si>
    <t>Pizza bocadillo bliss</t>
  </si>
  <si>
    <t>tipo=venta; área_producción=general; sku=VEN-PIZZAB-000868</t>
  </si>
  <si>
    <t>de43f5f5-53aa-4999-a0f6-587ef067073b</t>
  </si>
  <si>
    <t>Pizza burrata caprese</t>
  </si>
  <si>
    <t>tipo=venta; área_producción=general; sku=VEN-PIZZAB-000864</t>
  </si>
  <si>
    <t>98996db2-1d52-42f7-a4e1-c1c20abf9a61</t>
  </si>
  <si>
    <t>Pizza cheese drama</t>
  </si>
  <si>
    <t>tipo=venta; área_producción=general; sku=VEN-PIZZAC-000865</t>
  </si>
  <si>
    <t>38b538e9-0dba-46f5-982b-794f569f725b</t>
  </si>
  <si>
    <t>Pizza del campo</t>
  </si>
  <si>
    <t>tipo=venta; área_producción=general; sku=VEN-PIZZAD-000862</t>
  </si>
  <si>
    <t>ab4f5165-ca6d-4650-944c-dff5f33c338d</t>
  </si>
  <si>
    <t>Pizza Margarita</t>
  </si>
  <si>
    <t>tipo=venta; área_producción=general; sku=VEN-PIZZAM-000821</t>
  </si>
  <si>
    <t>ec448eb0-739a-446e-948b-655a939317de</t>
  </si>
  <si>
    <t>Pizza pear &amp; peace</t>
  </si>
  <si>
    <t>tipo=venta; área_producción=general; sku=VEN-PIZZAP-000869</t>
  </si>
  <si>
    <t>ec4765bc-296d-4148-8cee-9b3ad2d3b055</t>
  </si>
  <si>
    <t>Pizza pepperoni</t>
  </si>
  <si>
    <t>tipo=venta; área_producción=general; sku=VEN-PIZZAP-000863</t>
  </si>
  <si>
    <t>f1b05cc9-8d52-480f-8e60-a27df5625788</t>
  </si>
  <si>
    <t>Pizza pesto paraiso</t>
  </si>
  <si>
    <t>tipo=venta; área_producción=general; sku=VEN-PIZZAP-000861</t>
  </si>
  <si>
    <t>0659e3fc-682d-4908-8150-a3a081d3b622</t>
  </si>
  <si>
    <t>Pizza pollo roso</t>
  </si>
  <si>
    <t>tipo=venta; área_producción=general; sku=VEN-PIZZAP-000859</t>
  </si>
  <si>
    <t>a9ed8ee3-dde6-4433-bebd-f79191462163</t>
  </si>
  <si>
    <t>Pizza prosciutto</t>
  </si>
  <si>
    <t>tipo=venta; área_producción=general; sku=VEN-PIZZAP-000857</t>
  </si>
  <si>
    <t>c28e6fe9-5826-44f4-ba6f-7efdc05861f8</t>
  </si>
  <si>
    <t>Pizza roast beef</t>
  </si>
  <si>
    <t>tipo=venta; área_producción=general; sku=VEN-PIZZAR-000867</t>
  </si>
  <si>
    <t>a09868a4-dcf6-4a4b-a775-85ff0b505d58</t>
  </si>
  <si>
    <t>Pizza saudos crunch</t>
  </si>
  <si>
    <t>tipo=venta; área_producción=general; sku=VEN-PIZZAS-000860</t>
  </si>
  <si>
    <t>469744f0-e5f0-43cf-a9b0-3725e2278796</t>
  </si>
  <si>
    <t>Pizza tropic hit</t>
  </si>
  <si>
    <t>tipo=venta; área_producción=general; sku=VEN-PIZZAT-000866</t>
  </si>
  <si>
    <t>69925a0e-562f-4b2c-a4e7-f092abcd68a3</t>
  </si>
  <si>
    <t>Plancha 3 quemadores</t>
  </si>
  <si>
    <t>tipo=insumo; área_producción=general; sku=EQP-PLANCH-000540</t>
  </si>
  <si>
    <t>f451e8e2-96f0-42d1-877f-409dd1ab0be8</t>
  </si>
  <si>
    <t>Plancha a gas 6 puestos</t>
  </si>
  <si>
    <t>tipo=insumo; área_producción=general; sku=EQP-PLANCH-000934</t>
  </si>
  <si>
    <t>3cfbd9f2-d0f5-4e64-9519-f87c68047813</t>
  </si>
  <si>
    <t>Plastificadora</t>
  </si>
  <si>
    <t>tipo=insumo; área_producción=general; sku=EQP-PLASTI-000986</t>
  </si>
  <si>
    <t>a829674c-bdcb-4337-ba86-c2dc63fdbe5e</t>
  </si>
  <si>
    <t>PLATO PEQUEÑO</t>
  </si>
  <si>
    <t>tipo=insumo; área_producción=general; sku=EQP-PLATOP-000802</t>
  </si>
  <si>
    <t>bd2d25a7-3174-4085-b8a3-2798fb00a70c</t>
  </si>
  <si>
    <t>PLATO PIZZA GRANDE</t>
  </si>
  <si>
    <t>tipo=insumo; área_producción=general; sku=EQP-PLATOP-000789</t>
  </si>
  <si>
    <t>646ec95f-55a2-4b1e-a6e4-8ed19b45caa4</t>
  </si>
  <si>
    <t>PLATO PIZZA PEQUEÑO</t>
  </si>
  <si>
    <t>tipo=insumo; área_producción=general; sku=EQP-PLATOP-000790</t>
  </si>
  <si>
    <t>099abb5f-bc8c-428b-b6f6-64739c364bb2</t>
  </si>
  <si>
    <t>Pollo Caruso</t>
  </si>
  <si>
    <t>tipo=venta; área_producción=general; sku=VEN-POLLOC-000620</t>
  </si>
  <si>
    <t>0a82cfca-00b9-47b7-9ccd-f3104d0eeea8</t>
  </si>
  <si>
    <t>Polvo de Jamaica</t>
  </si>
  <si>
    <t>Rubs, especias y premezclas</t>
  </si>
  <si>
    <t>tipo=preparacion; área_producción=general; sku=PRE-POLVOD-000230</t>
  </si>
  <si>
    <t>5c6ce7b3-e275-43f9-80ff-71eff7347c86</t>
  </si>
  <si>
    <t>Polvo para Hornear</t>
  </si>
  <si>
    <t>a980f608-fecd-4266-b581-fd1a774c39e4</t>
  </si>
  <si>
    <t>tipo=insumo; área_producción=general; uso_presentación=remission; fuente_presentación=manual; 2 presentación(es) adicional(es) en Supabase; sku=INS-POLVOP-000211</t>
  </si>
  <si>
    <t>47b00115-54fe-403b-9724-a0f07f82016e</t>
  </si>
  <si>
    <t>Pomodoro Pizza</t>
  </si>
  <si>
    <t>fd77d753-aa5b-4c6b-a878-a830167d9e10</t>
  </si>
  <si>
    <t>Tarro de 4 kg</t>
  </si>
  <si>
    <t>tipo=insumo; área_producción=general; uso_presentación=general; fuente_presentación=manual; 1 presentación(es) adicional(es) en Supabase; sku=INS-POMODO-000031</t>
  </si>
  <si>
    <t>35c6107e-8e9b-4ebb-a4e9-91f551cd1a3a</t>
  </si>
  <si>
    <t>Porción Arepas 3 und</t>
  </si>
  <si>
    <t>tipo=preparacion; área_producción=general; sku=PRE-PORCIO-000183</t>
  </si>
  <si>
    <t>77e2e677-ed6c-48b5-b092-59a78a315fcb</t>
  </si>
  <si>
    <t>Porción BluePhilly 170gr</t>
  </si>
  <si>
    <t>tipo=preparacion; área_producción=general; sku=PRE-PORCIO-000185</t>
  </si>
  <si>
    <t>aabaf8c8-f757-4094-a568-81a030fd94bb</t>
  </si>
  <si>
    <t>Porción Carne de Hamburguesa 150gr</t>
  </si>
  <si>
    <t>tipo=preparacion; área_producción=general; sku=PRE-PORCIO-000232</t>
  </si>
  <si>
    <t>114e26e0-fda3-45d5-9640-6b65a2035011</t>
  </si>
  <si>
    <t>Porción Chicharrón 70gr</t>
  </si>
  <si>
    <t>tipo=preparacion; área_producción=general; sku=PRE-PORCIO-000239</t>
  </si>
  <si>
    <t>cc470af9-12c0-46ee-ad5b-35e2ca962b11</t>
  </si>
  <si>
    <t>Porción de Frutos Rojos 200gr</t>
  </si>
  <si>
    <t>21e3ff2d-af50-4ca3-9170-aa3daa6ef5a4</t>
  </si>
  <si>
    <t>tipo=preparacion; área_producción=general; uso_presentación=remission; fuente_presentación=manual; sku=PRE-PORCIO-000304</t>
  </si>
  <si>
    <t>9bc1944a-0a54-4e76-a9db-5f2a3b169ea1</t>
  </si>
  <si>
    <t>Porción de Frutos Verdes 200gr</t>
  </si>
  <si>
    <t>tipo=preparacion; área_producción=general; sku=PRE-PORCIO-000305</t>
  </si>
  <si>
    <t>49951ce4-52d3-445e-b3d8-855ccb737f47</t>
  </si>
  <si>
    <t>Porción de Sandía 100gr</t>
  </si>
  <si>
    <t>tipo=preparacion; área_producción=general; sku=PRE-PORCIO-000307</t>
  </si>
  <si>
    <t>71882507-863e-4d3d-b684-9b76ecb5ec31</t>
  </si>
  <si>
    <t>Porción Fondo 300gr</t>
  </si>
  <si>
    <t>Fondos y caldos</t>
  </si>
  <si>
    <t>tipo=preparacion; área_producción=general; sku=PRE-PORCIO-000231</t>
  </si>
  <si>
    <t>767cea9b-3eb7-4319-9fd3-ee23debfbafb</t>
  </si>
  <si>
    <t>Porción Frutos Amarillos 200gr</t>
  </si>
  <si>
    <t>tipo=preparacion; área_producción=general; sku=PRE-PORCIO-000334</t>
  </si>
  <si>
    <t>4e63223c-8133-4d8e-aab2-5dfe6d80a67c</t>
  </si>
  <si>
    <t>Porción Morrillo</t>
  </si>
  <si>
    <t>tipo=preparacion; área_producción=general; sku=PRE-PORCIO-000184</t>
  </si>
  <si>
    <t>72983973-8f49-4a0c-9cbf-c518eb3554f3</t>
  </si>
  <si>
    <t>Porción Pancakes x 2und</t>
  </si>
  <si>
    <t>tipo=preparacion; área_producción=general; sku=PRE-PORCIO-000233</t>
  </si>
  <si>
    <t>a10fb984-4a5c-459d-893c-1ba5c663a26f</t>
  </si>
  <si>
    <t>Porción Pechuga Marinada 150gr</t>
  </si>
  <si>
    <t>tipo=preparacion; área_producción=general; sku=PRE-PORCIO-000234</t>
  </si>
  <si>
    <t>334ecca9-df55-4144-8f0f-a6f614763b0b</t>
  </si>
  <si>
    <t>Porción Pollo Laminado 60gr</t>
  </si>
  <si>
    <t>tipo=preparacion; área_producción=general; sku=PRE-POLLOL-000085</t>
  </si>
  <si>
    <t>a8db44df-45d8-4348-8e83-5ac8997efcfe</t>
  </si>
  <si>
    <t>Porción Pulled Pork 120gr</t>
  </si>
  <si>
    <t>tipo=preparacion; área_producción=general; sku=PRE-PORCIO-000235</t>
  </si>
  <si>
    <t>efc05933-9a88-4259-b6ce-a7ee459c575e</t>
  </si>
  <si>
    <t>Porción Roast Beef 120gr</t>
  </si>
  <si>
    <t>67fcc1eb-3a36-45c7-ba76-1e07c77bbf50</t>
  </si>
  <si>
    <t>tipo=preparacion; área_producción=general; uso_presentación=remission; fuente_presentación=recipe_portion; sku=PRE-ROASTB-000086</t>
  </si>
  <si>
    <t>7a36c9de-fe60-42c7-b409-5892223bf95e</t>
  </si>
  <si>
    <t>Porción Salsa Napolitana</t>
  </si>
  <si>
    <t>tipo=preparacion; área_producción=general; sku=PRE-PORCIO-000236</t>
  </si>
  <si>
    <t>cb2829be-6494-45e9-bf2c-29436cf5c587</t>
  </si>
  <si>
    <t>Porción Sopa de Ahuyama 150gr</t>
  </si>
  <si>
    <t>Bases para sopas y cremas</t>
  </si>
  <si>
    <t>tipo=preparacion; área_producción=general; sku=PRE-PORCIO-000237</t>
  </si>
  <si>
    <t>be2f9650-175e-4470-83ca-cbd951579215</t>
  </si>
  <si>
    <t>Porción Sopa de Tomate 150gr</t>
  </si>
  <si>
    <t>tipo=preparacion; área_producción=general; sku=PRE-PORCIO-000238</t>
  </si>
  <si>
    <t>61e96452-5f36-4af0-a78f-ca0e8a1ad083</t>
  </si>
  <si>
    <t>Porcionadora de masa</t>
  </si>
  <si>
    <t>tipo=insumo; área_producción=general; sku=EQP-PORCIO-000572</t>
  </si>
  <si>
    <t>92b649a2-bac1-42b3-88e8-bd15b85e21a6</t>
  </si>
  <si>
    <t>Porta Vasos de Cartón</t>
  </si>
  <si>
    <t>b3bec2f0-4de0-4052-90ad-bb9b5442c28c</t>
  </si>
  <si>
    <t>tipo=insumo; área_producción=general; uso_presentación=remission; fuente_presentación=manual; 1 presentación(es) adicional(es) en Supabase; sku=INS-PORTAV-000913</t>
  </si>
  <si>
    <t>323f0f6a-b63f-465a-b4f1-0c11465788d1</t>
  </si>
  <si>
    <t>Portacubiertos Saudo</t>
  </si>
  <si>
    <t>402fd1a6-2967-4cd5-889a-b043a6811f6f</t>
  </si>
  <si>
    <t>tipo=insumo; área_producción=general; uso_presentación=remission; fuente_presentación=manual; 1 presentación(es) adicional(es) en Supabase; sku=INS-PORTAC-000128</t>
  </si>
  <si>
    <t>7071c159-799a-4b19-a547-d46d8f72b7d6</t>
  </si>
  <si>
    <t>Portacubiertos Vento</t>
  </si>
  <si>
    <t>c816a9cc-7a26-4a63-9ec0-9ca5f170b4db</t>
  </si>
  <si>
    <t>Caja de 1.000 un</t>
  </si>
  <si>
    <t>tipo=insumo; área_producción=general; uso_presentación=remission; fuente_presentación=manual; 2 presentación(es) adicional(es) en Supabase; sku=INS-PORTAC-000346</t>
  </si>
  <si>
    <t>052715bc-4c33-43af-8035-1d4df8445925</t>
  </si>
  <si>
    <t>PORTAPOSTRE PEQUEÑO</t>
  </si>
  <si>
    <t>tipo=insumo; área_producción=general; sku=EQP-PORTAP-000785</t>
  </si>
  <si>
    <t>bbde2bf6-0777-4bd3-acfc-25652b7aedba</t>
  </si>
  <si>
    <t>PORTASALSA PEQUEÑO</t>
  </si>
  <si>
    <t>tipo=insumo; área_producción=general; sku=EQP-PORTAS-000783</t>
  </si>
  <si>
    <t>12ff4fd7-2c39-422a-b9bf-e89289fcdead</t>
  </si>
  <si>
    <t>Portatil azus</t>
  </si>
  <si>
    <t>tipo=insumo; área_producción=general; sku=EQP-PORTAT-000666</t>
  </si>
  <si>
    <t>00e55734-4a8c-44a3-b9cb-9144dbd15329</t>
  </si>
  <si>
    <t>Portatil lenovo</t>
  </si>
  <si>
    <t>tipo=insumo; área_producción=general; sku=EQP-PORTAT-000632</t>
  </si>
  <si>
    <t>a7f8f7e4-5553-42b9-96f3-53ffe4cdcedd</t>
  </si>
  <si>
    <t>Portatil lenovo  PF9XB3C15271</t>
  </si>
  <si>
    <t>tipo=insumo; área_producción=general; sku=EQP-PORTAT-000665</t>
  </si>
  <si>
    <t>6c211a67-2db1-4beb-b27c-c62ab91fde64</t>
  </si>
  <si>
    <t>Postre Abejita de Miel</t>
  </si>
  <si>
    <t>e76d3ff1-b63b-49c8-975a-24d7d09ffb1c</t>
  </si>
  <si>
    <t>tipo=venta; área_producción=general; uso_presentación=remission; fuente_presentación=manual; sku=VEN-POSTRE-000373</t>
  </si>
  <si>
    <t>d598a79f-2b82-4b2f-9f96-8281a9ff3199</t>
  </si>
  <si>
    <t>Postre Alas de Mariposa</t>
  </si>
  <si>
    <t>bc02e332-72fb-41a7-95f1-e047c9a685ed</t>
  </si>
  <si>
    <t>tipo=venta; área_producción=general; uso_presentación=remission; fuente_presentación=manual; sku=VEN-POSTRE-000372</t>
  </si>
  <si>
    <t>5c9a4e60-30bc-404c-b70b-6f94e955bee6</t>
  </si>
  <si>
    <t>Postre Bowser</t>
  </si>
  <si>
    <t>tipo=venta; área_producción=general; sku=VEN-POSTRE-000925</t>
  </si>
  <si>
    <t>12b6c743-d87b-481d-8bf3-0031481fb691</t>
  </si>
  <si>
    <t>Postre Choco Boom</t>
  </si>
  <si>
    <t>tipo=venta; área_producción=general; sku=VEN-POSTRE-000921</t>
  </si>
  <si>
    <t>19233bf4-305b-469d-bbd7-27e37dc1fee3</t>
  </si>
  <si>
    <t>Postre Chomper</t>
  </si>
  <si>
    <t>tipo=venta; área_producción=general; sku=VEN-POSTRE-000920</t>
  </si>
  <si>
    <t>6b0467af-80b6-4340-afff-f118f641d2ee</t>
  </si>
  <si>
    <t>Postre Dream Dash</t>
  </si>
  <si>
    <t>tipo=venta; área_producción=general; sku=VEN-POSTRE-000926</t>
  </si>
  <si>
    <t>636fe437-372a-4283-85ba-10e6f69bc424</t>
  </si>
  <si>
    <t>Postre Dulce Mariquita</t>
  </si>
  <si>
    <t>e46cb852-9e3c-4747-8336-50ab2c9df8a4</t>
  </si>
  <si>
    <t>tipo=venta; área_producción=general; uso_presentación=remission; fuente_presentación=manual; sku=VEN-POSTRE-000379</t>
  </si>
  <si>
    <t>b76141d2-6a6a-42db-9251-cfd137b10d3c</t>
  </si>
  <si>
    <t>Postre Hongo de Primavera</t>
  </si>
  <si>
    <t>b97a57ba-d56d-479d-b7bc-46945de372f6</t>
  </si>
  <si>
    <t>tipo=venta; área_producción=general; uso_presentación=remission; fuente_presentación=manual; sku=VEN-POSTRE-000377</t>
  </si>
  <si>
    <t>dc3352a5-a480-44da-a169-c258271acc67</t>
  </si>
  <si>
    <t>Postre Huevo de Pascua</t>
  </si>
  <si>
    <t>6d33c67a-7caa-4416-904b-8c4d567ae98c</t>
  </si>
  <si>
    <t>tipo=venta; área_producción=general; uso_presentación=remission; fuente_presentación=manual; sku=VEN-POSTRE-000380</t>
  </si>
  <si>
    <t>1e3ad478-929e-4cd8-a991-9d02f1402796</t>
  </si>
  <si>
    <t>Postre Milhoja de Mariposa</t>
  </si>
  <si>
    <t>02ab8537-1261-4bd7-a79c-55fee76fc60f</t>
  </si>
  <si>
    <t>tipo=venta; área_producción=general; uso_presentación=remission; fuente_presentación=manual; sku=VEN-POSTRE-000378</t>
  </si>
  <si>
    <t>72faf05b-c811-4991-9459-68735cc0b47a</t>
  </si>
  <si>
    <t>Postre Mr Bunny</t>
  </si>
  <si>
    <t>17f42b6c-61ac-4475-a93a-510c8f7f3de4</t>
  </si>
  <si>
    <t>tipo=venta; área_producción=general; uso_presentación=remission; fuente_presentación=manual; sku=VEN-POSTRE-000374</t>
  </si>
  <si>
    <t>40640c25-ceec-475b-831a-18c092d462bb</t>
  </si>
  <si>
    <t>Postre Mr. Pop</t>
  </si>
  <si>
    <t>tipo=venta; área_producción=general; sku=VEN-POSTRE-000923</t>
  </si>
  <si>
    <t>d894b11c-5434-4d4d-aaec-78610bddc2b9</t>
  </si>
  <si>
    <t>Postre Mystery Box</t>
  </si>
  <si>
    <t>tipo=venta; área_producción=general; sku=VEN-POSTRE-000922</t>
  </si>
  <si>
    <t>16e6c092-2544-4fd2-9c62-df8f05ac8295</t>
  </si>
  <si>
    <t>Postre Paseo en el Jardín</t>
  </si>
  <si>
    <t>22aecddb-0e7d-4c3c-a8b5-e5c25eb89a02</t>
  </si>
  <si>
    <t>tipo=venta; área_producción=general; uso_presentación=remission; fuente_presentación=manual; sku=VEN-POSTRE-000376</t>
  </si>
  <si>
    <t>d5254786-a400-4ad4-94ba-497aafe8bdc8</t>
  </si>
  <si>
    <t>Postre Peaches</t>
  </si>
  <si>
    <t>tipo=venta; área_producción=general; sku=VEN-POSTRE-000919</t>
  </si>
  <si>
    <t>38ecbbb7-252a-41c7-9919-6bf75232ea27</t>
  </si>
  <si>
    <t>Postre Pistacho Dream</t>
  </si>
  <si>
    <t>060fddac-19c0-4131-bc2f-4ad1af5ed71c</t>
  </si>
  <si>
    <t>tipo=venta; área_producción=general; uso_presentación=remission; fuente_presentación=manual; sku=VEN-POSTRE-000375</t>
  </si>
  <si>
    <t>f2918cbc-283f-4e04-81a6-736b93ce5d82</t>
  </si>
  <si>
    <t>Postre Player 1</t>
  </si>
  <si>
    <t>tipo=venta; área_producción=general; sku=VEN-POSTRE-000917</t>
  </si>
  <si>
    <t>de1f6176-3449-44f0-9bb4-010fcf9c93c8</t>
  </si>
  <si>
    <t>Postre Player 2</t>
  </si>
  <si>
    <t>tipo=venta; área_producción=general; sku=VEN-POSTRE-000918</t>
  </si>
  <si>
    <t>05124cca-e5e0-4bfe-9f21-1b186ff2d91f</t>
  </si>
  <si>
    <t>Postre Yoshi Egg</t>
  </si>
  <si>
    <t>tipo=venta; área_producción=general; sku=VEN-POSTRE-000924</t>
  </si>
  <si>
    <t>b98f0b5b-aa88-4275-8173-9052390d3f68</t>
  </si>
  <si>
    <t>Procesador</t>
  </si>
  <si>
    <t>tipo=insumo; área_producción=general; sku=EQP-PROCES-000567</t>
  </si>
  <si>
    <t>d1ba6fe4-1c0b-4306-a30e-5bef771498fe</t>
  </si>
  <si>
    <t>Prosciutto croissant</t>
  </si>
  <si>
    <t>tipo=venta; área_producción=general; sku=VEN-PROSCI-000880</t>
  </si>
  <si>
    <t>d35151da-b2e0-4903-90f5-bb9af31890a1</t>
  </si>
  <si>
    <t>Proteína de banano</t>
  </si>
  <si>
    <t>tipo=venta; área_producción=general; sku=VEN-PROTEI-000956</t>
  </si>
  <si>
    <t>7f7b8e49-e5a8-49e9-aeb7-317ca3cac050</t>
  </si>
  <si>
    <t>Proteína de café</t>
  </si>
  <si>
    <t>tipo=venta; área_producción=general; sku=VEN-PROTEI-000957</t>
  </si>
  <si>
    <t>4a818a8e-6ccc-4d0b-b595-ce4410fe269f</t>
  </si>
  <si>
    <t>Proteina de fresa</t>
  </si>
  <si>
    <t>tipo=venta; área_producción=general; sku=VEN-PROTEI-000955</t>
  </si>
  <si>
    <t>a2229f28-ee2c-48ca-a19b-b4c010dffa16</t>
  </si>
  <si>
    <t>Proteina de vainilla</t>
  </si>
  <si>
    <t>tipo=venta; área_producción=general; sku=VEN-PROTEI-000954</t>
  </si>
  <si>
    <t>971f8746-8376-4575-b7bf-5aba3618dc56</t>
  </si>
  <si>
    <t>Puerro Crocante</t>
  </si>
  <si>
    <t>tipo=preparacion; área_producción=general; sku=PRE-PUERRO-000820</t>
  </si>
  <si>
    <t>acd24ce9-d4ae-4208-88f7-0bbc1d05bf23</t>
  </si>
  <si>
    <t>Queso Azul Cuña</t>
  </si>
  <si>
    <t>Quesos Maduros/Duros</t>
  </si>
  <si>
    <t>44841ce8-9b69-41d2-86dd-8875a89c5e39</t>
  </si>
  <si>
    <t>Cuña de 180 g</t>
  </si>
  <si>
    <t>tipo=insumo; área_producción=general; uso_presentación=remission; fuente_presentación=manual; 2 presentación(es) adicional(es) en Supabase; sku=INS-QUESOA-000027</t>
  </si>
  <si>
    <t>b15089c1-06a0-4fc5-9ad4-85600942386c</t>
  </si>
  <si>
    <t>Queso Burrata</t>
  </si>
  <si>
    <t>Quesos Frescos/Blandos</t>
  </si>
  <si>
    <t>0073de69-13fc-47cc-b2ca-5571d25b2e6f</t>
  </si>
  <si>
    <t>Pote de 1</t>
  </si>
  <si>
    <t>tipo=insumo; área_producción=general; uso_presentación=remission; fuente_presentación=manual; 3 presentación(es) adicional(es) en Supabase; sku=INS-QUESOB-000095</t>
  </si>
  <si>
    <t>a1f4c67c-410a-4527-a34f-fc5a3a4f81f8</t>
  </si>
  <si>
    <t>Queso Campesino</t>
  </si>
  <si>
    <t>20470113-2d17-4877-a1ae-69e7736f14b4</t>
  </si>
  <si>
    <t>tipo=insumo; área_producción=general; uso_presentación=purchase; fuente_presentación=supplier_primary; sku=INS-QUESOC-000641</t>
  </si>
  <si>
    <t>75dd96af-c777-4b69-bc55-9bfca5fdf726</t>
  </si>
  <si>
    <t>Queso Cheddar Tajado</t>
  </si>
  <si>
    <t>76d8498a-ce0a-4c32-bdd2-6387963a2500</t>
  </si>
  <si>
    <t>Bloque de 2.500 g</t>
  </si>
  <si>
    <t>tipo=insumo; área_producción=general; uso_presentación=general; fuente_presentación=manual; 1 presentación(es) adicional(es) en Supabase; sku=INS-QUESOC-000471</t>
  </si>
  <si>
    <t>afa831a1-417a-4696-b04b-386182777d4c</t>
  </si>
  <si>
    <t>Queso Ciliegine</t>
  </si>
  <si>
    <t>914097e2-d31b-4218-b959-4110f3817fa2</t>
  </si>
  <si>
    <t>Pote 30 un</t>
  </si>
  <si>
    <t>tipo=insumo; área_producción=general; uso_presentación=remission; fuente_presentación=manual; 2 presentación(es) adicional(es) en Supabase; sku=INS-QUESOC-000096</t>
  </si>
  <si>
    <t>13d47350-ec1c-477a-afba-4146d0d0e9e0</t>
  </si>
  <si>
    <t>Queso Crema Kraft</t>
  </si>
  <si>
    <t>3e95a865-4e69-440c-8f3c-e22541e1ffe2</t>
  </si>
  <si>
    <t>Bloque de 1.36 kg</t>
  </si>
  <si>
    <t>tipo=insumo; área_producción=general; uso_presentación=remission; fuente_presentación=manual; 2 presentación(es) adicional(es) en Supabase; sku=INS-QUESOC-000019</t>
  </si>
  <si>
    <t>c5139fe2-b04d-403c-91ca-c47f855bafed</t>
  </si>
  <si>
    <t>Queso Cuajada</t>
  </si>
  <si>
    <t>b6348087-c59d-45c8-a8b1-b2d578cc93cd</t>
  </si>
  <si>
    <t>Bloque de 1 kg</t>
  </si>
  <si>
    <t>tipo=insumo; área_producción=general; uso_presentación=remission; fuente_presentación=manual; 1 presentación(es) adicional(es) en Supabase; sku=INS-QUESOC-000216</t>
  </si>
  <si>
    <t>1a8ea804-1bbd-46ce-9f00-38d6b05feab1</t>
  </si>
  <si>
    <t>Queso Feta</t>
  </si>
  <si>
    <t>511db5e2-6483-44c5-ae3c-8580e821730c</t>
  </si>
  <si>
    <t>Pote 680 gr</t>
  </si>
  <si>
    <t>tipo=insumo; área_producción=general; uso_presentación=remission; fuente_presentación=manual; 2 presentación(es) adicional(es) en Supabase; sku=INS-QUESOF-000192</t>
  </si>
  <si>
    <t>c80ed0d2-010f-4643-aed1-45ba8cf0e911</t>
  </si>
  <si>
    <t>Queso Gouda</t>
  </si>
  <si>
    <t>45dacfa1-0fbd-4571-afa4-d5d859ef2058</t>
  </si>
  <si>
    <t>tipo=insumo; área_producción=general; uso_presentación=remission; fuente_presentación=manual; 4 presentación(es) adicional(es) en Supabase; sku=INS-QUESOG-000002</t>
  </si>
  <si>
    <t>318df1ec-d831-4fe7-ba6c-554ca0c78a5c</t>
  </si>
  <si>
    <t>Queso Mozzarella Pizza</t>
  </si>
  <si>
    <t>3ecbf669-f5c8-46a8-b537-02f6cd8bd8aa</t>
  </si>
  <si>
    <t>Bloque de 3,5 kg</t>
  </si>
  <si>
    <t>tipo=insumo; área_producción=general; uso_presentación=remission; fuente_presentación=manual; 2 presentación(es) adicional(es) en Supabase; sku=INS-QUESOM-000010</t>
  </si>
  <si>
    <t>cc5ae544-8255-4c02-a38d-a829fb36e8da</t>
  </si>
  <si>
    <t>Queso Mozzarella Tajado</t>
  </si>
  <si>
    <t>17cbfe83-040b-42a1-88d9-5a514f89c2f4</t>
  </si>
  <si>
    <t>Bloque</t>
  </si>
  <si>
    <t>tipo=insumo; área_producción=general; uso_presentación=remission; fuente_presentación=manual; 2 presentación(es) adicional(es) en Supabase; sku=INS-QUESOM-000033</t>
  </si>
  <si>
    <t>6244e86d-22b2-4d52-83fc-882899ddb943</t>
  </si>
  <si>
    <t>Queso Paisa</t>
  </si>
  <si>
    <t>e6d742c6-ff22-47de-a364-4fa5b357bd4f</t>
  </si>
  <si>
    <t>tipo=insumo; área_producción=general; uso_presentación=remission; fuente_presentación=manual; 2 presentación(es) adicional(es) en Supabase; sku=INS-QUESOP-000034</t>
  </si>
  <si>
    <t>292d8839-be37-4160-a5c2-b2abbbec0889</t>
  </si>
  <si>
    <t>Queso Parmesano Cuña</t>
  </si>
  <si>
    <t>62364f73-117b-4cbb-a6f7-d8ac5b30f693</t>
  </si>
  <si>
    <t>Cuña de 1 kg</t>
  </si>
  <si>
    <t>tipo=insumo; área_producción=general; uso_presentación=remission; fuente_presentación=manual; 1 presentación(es) adicional(es) en Supabase; sku=INS-QUESOP-000079</t>
  </si>
  <si>
    <t>5bf72eab-09b1-43f6-aa65-11d888d92f9e</t>
  </si>
  <si>
    <t>Queso Parmesano Rallado</t>
  </si>
  <si>
    <t>4fe47709-3fd6-493d-99f3-f78a08a95572</t>
  </si>
  <si>
    <t>tipo=insumo; área_producción=general; uso_presentación=remission; fuente_presentación=manual; 2 presentación(es) adicional(es) en Supabase; sku=INS-QUESOP-000020</t>
  </si>
  <si>
    <t>4a8426e1-7a26-4403-9649-3dc460da096c</t>
  </si>
  <si>
    <t>Queso Provolone</t>
  </si>
  <si>
    <t>99f3f6be-0a16-419d-91f3-d84d0cabf921</t>
  </si>
  <si>
    <t>tipo=insumo; área_producción=general; uso_presentación=remission; fuente_presentación=manual; 2 presentación(es) adicional(es) en Supabase; sku=INS-QUESOP-000004</t>
  </si>
  <si>
    <t>35330eca-7576-4e2c-b4a3-b43d28975fbc</t>
  </si>
  <si>
    <t>Queso Ricota</t>
  </si>
  <si>
    <t>18f0e848-451e-4a8d-b656-0bdc8ef160eb</t>
  </si>
  <si>
    <t>tipo=insumo; área_producción=general; uso_presentación=remission; fuente_presentación=manual; 1 presentación(es) adicional(es) en Supabase; sku=INS-QUESOR-000123</t>
  </si>
  <si>
    <t>11492427-1367-47eb-b8bc-51119a7df3e7</t>
  </si>
  <si>
    <t>Queso Stracciatella</t>
  </si>
  <si>
    <t>13ef20c7-34a3-4dce-862e-43176163017a</t>
  </si>
  <si>
    <t>Pote 500 g</t>
  </si>
  <si>
    <t>tipo=insumo; área_producción=general; uso_presentación=remission; fuente_presentación=manual; 2 presentación(es) adicional(es) en Supabase; sku=INS-QUESOS-000209</t>
  </si>
  <si>
    <t>28cd5694-b9d5-4c84-9d6c-9befd57b5846</t>
  </si>
  <si>
    <t>Queso Suizo</t>
  </si>
  <si>
    <t>8bcd9f10-9a3d-465f-8206-d348a57b6522</t>
  </si>
  <si>
    <t>tipo=insumo; área_producción=general; uso_presentación=remission; fuente_presentación=manual; 4 presentación(es) adicional(es) en Supabase; sku=INS-QUESOS-000001</t>
  </si>
  <si>
    <t>bcefa6db-9e0e-4d9f-b27b-26d0d2d6f2c9</t>
  </si>
  <si>
    <t>Quinoa Crocante</t>
  </si>
  <si>
    <t>tipo=preparacion; área_producción=general; sku=PRE-QUINOA-000248</t>
  </si>
  <si>
    <t>737b4c06-13d4-4abc-9a6d-621423865ac7</t>
  </si>
  <si>
    <t>Radio T26</t>
  </si>
  <si>
    <t>tipo=insumo; área_producción=general; sku=EQP-RADIOT-000850</t>
  </si>
  <si>
    <t>e773da3f-e019-4099-8305-8f783c437908</t>
  </si>
  <si>
    <t>Raid</t>
  </si>
  <si>
    <t>e1aa01c0-af84-4f64-b25b-c576455f277f</t>
  </si>
  <si>
    <t>tipo=insumo; área_producción=general; uso_presentación=remission; fuente_presentación=manual; 1 presentación(es) adicional(es) en Supabase; sku=INS-RAID-000139</t>
  </si>
  <si>
    <t>b4f48220-f218-44e0-8ca3-4745a1765178</t>
  </si>
  <si>
    <t>RAYADOR QUESO</t>
  </si>
  <si>
    <t>tipo=insumo; área_producción=general; sku=EQP-RAYADO-000836</t>
  </si>
  <si>
    <t>dda537ff-1f02-445d-88a6-2f725ba32e48</t>
  </si>
  <si>
    <t>Rebanadora elecrtrica</t>
  </si>
  <si>
    <t>tipo=insumo; área_producción=general; sku=EQP-REBANA-000542</t>
  </si>
  <si>
    <t>034fa85f-c355-44eb-8ce8-b7d76d5a968d</t>
  </si>
  <si>
    <t>RECIPIENTE MIEL</t>
  </si>
  <si>
    <t>tipo=insumo; área_producción=general; sku=EQP-RECIPI-000846</t>
  </si>
  <si>
    <t>5fcc5a93-b107-45b1-b853-24664eb2e6d8</t>
  </si>
  <si>
    <t>RECIPIENTE UTENSILIOS GRANDE</t>
  </si>
  <si>
    <t>tipo=insumo; área_producción=general; sku=EQP-RECIPI-000829</t>
  </si>
  <si>
    <t>4d7d3427-77b9-4361-9a37-75b8c229ab6f</t>
  </si>
  <si>
    <t>RECIPIENTE UTENSILIOS PEQUE</t>
  </si>
  <si>
    <t>tipo=insumo; área_producción=general; sku=EQP-RECIPI-000828</t>
  </si>
  <si>
    <t>74ff902d-bfdf-4496-8ea6-f559c70b3da9</t>
  </si>
  <si>
    <t>Recogedor con palo</t>
  </si>
  <si>
    <t>0ee6455b-b8e8-4124-bbb1-cd70ef013175</t>
  </si>
  <si>
    <t>tipo=insumo; área_producción=general; uso_presentación=remission; fuente_presentación=manual; 1 presentación(es) adicional(es) en Supabase; sku=INS-RECOGE-000634</t>
  </si>
  <si>
    <t>382b35f2-e12c-4ba7-afc0-bb944fb65e5b</t>
  </si>
  <si>
    <t>Reducción de Vinagre Balsámico</t>
  </si>
  <si>
    <t>d8954e72-59eb-4251-a268-f5d94ee0ee57</t>
  </si>
  <si>
    <t>tipo=preparacion; área_producción=general; uso_presentación=remission; fuente_presentación=recipe_portion; sku=PRE-REDUCC-000043</t>
  </si>
  <si>
    <t>9e131b71-76c0-4846-82cb-572917aac3d0</t>
  </si>
  <si>
    <t>Refinadora</t>
  </si>
  <si>
    <t>tipo=insumo; área_producción=general; sku=EQP-REFINA-000563</t>
  </si>
  <si>
    <t>253772e9-562f-4160-b394-787ed72b729c</t>
  </si>
  <si>
    <t>Refrigerador horizontal doble</t>
  </si>
  <si>
    <t>tipo=insumo; área_producción=general; sku=EQP-REFRIG-000974</t>
  </si>
  <si>
    <t>384ee9b6-5482-4a28-83fc-a43dacf05d74</t>
  </si>
  <si>
    <t>Relleno de Hojaldre de Pollo Criollo</t>
  </si>
  <si>
    <t>Rellenos y farsas saladas</t>
  </si>
  <si>
    <t>tipo=preparacion; área_producción=general; sku=PRE-RELLEN-000675</t>
  </si>
  <si>
    <t>a608a5fd-3b1c-463c-96ef-4edbbbe4a52e</t>
  </si>
  <si>
    <t>Relleno de Queso Crema</t>
  </si>
  <si>
    <t>tipo=preparacion; área_producción=general; sku=PRE-RELLEN-000431</t>
  </si>
  <si>
    <t>a6d158a6-46fa-457f-8fcc-1edf85991edb</t>
  </si>
  <si>
    <t>Remolacha</t>
  </si>
  <si>
    <t>64d1c09f-7b74-4aae-8005-78ea7767df3c</t>
  </si>
  <si>
    <t>tipo=insumo; área_producción=general; uso_presentación=general; fuente_presentación=manual; 1 presentación(es) adicional(es) en Supabase; sku=INS-REMOLA-000404</t>
  </si>
  <si>
    <t>08cff9c1-c2f4-4d95-9170-736a2e1b01c3</t>
  </si>
  <si>
    <t>Repollo Blanco</t>
  </si>
  <si>
    <t>c28e383f-6da4-4bce-b606-d36eebd8e19c</t>
  </si>
  <si>
    <t>tipo=insumo; área_producción=general; uso_presentación=general; fuente_presentación=manual; 1 presentación(es) adicional(es) en Supabase; sku=INS-REPOLL-000492</t>
  </si>
  <si>
    <t>40d7b6e5-65e1-4a86-9582-79dcf3d95a6a</t>
  </si>
  <si>
    <t>Repollo Morado</t>
  </si>
  <si>
    <t>c930cf01-7e63-47b2-9059-aab22964ef47</t>
  </si>
  <si>
    <t>tipo=insumo; área_producción=general; uso_presentación=general; fuente_presentación=manual; 1 presentación(es) adicional(es) en Supabase; sku=INS-REPOLL-000493</t>
  </si>
  <si>
    <t>aee16304-af23-4e44-ac50-af66b049a574</t>
  </si>
  <si>
    <t>Roasty croissant</t>
  </si>
  <si>
    <t>tipo=venta; área_producción=general; sku=VEN-ROASTY-000879</t>
  </si>
  <si>
    <t>fbd2dd92-0517-483d-b004-25fcad40d002</t>
  </si>
  <si>
    <t>Romero</t>
  </si>
  <si>
    <t>481d2e14-a5c3-4377-ab90-244ccbc02a26</t>
  </si>
  <si>
    <t>tipo=insumo; área_producción=general; uso_presentación=general; fuente_presentación=manual; 1 presentación(es) adicional(es) en Supabase; sku=INS-ROMERO-000497</t>
  </si>
  <si>
    <t>df0b7460-1c81-4511-9c00-34e556e1da06</t>
  </si>
  <si>
    <t>Ron Viejo de Caldas</t>
  </si>
  <si>
    <t>936f0795-c405-47ef-b295-9ed60e0711e0</t>
  </si>
  <si>
    <t>tipo=insumo; área_producción=general; uso_presentación=general; fuente_presentación=manual; 1 presentación(es) adicional(es) en Supabase; sku=INS-RONVIE-000609</t>
  </si>
  <si>
    <t>e57e0a5a-4e1a-4372-9971-9791e94e6942</t>
  </si>
  <si>
    <t>Roscón de Arequipe</t>
  </si>
  <si>
    <t>9e3fb153-095f-4c83-9e95-3637d3bff2dd</t>
  </si>
  <si>
    <t>tipo=venta; área_producción=general; uso_presentación=remission; fuente_presentación=manual; sku=VEN-ROSCON-000450</t>
  </si>
  <si>
    <t>6cb8fff4-52c3-4631-a716-5223b1af5885</t>
  </si>
  <si>
    <t>Roscón de Arequipe Pequeño</t>
  </si>
  <si>
    <t>bf253992-e71c-4a9c-be5e-f0bf9f4b18d8</t>
  </si>
  <si>
    <t>tipo=venta; área_producción=general; uso_presentación=remission; fuente_presentación=manual; sku=VEN-ROSCON-000451</t>
  </si>
  <si>
    <t>e8f2d0e2-4906-4ce8-8b5a-254f7902a43b</t>
  </si>
  <si>
    <t>Roscón de bocadillo Grande</t>
  </si>
  <si>
    <t>b03054bc-68e4-4bd3-bcc9-23e8441d0511</t>
  </si>
  <si>
    <t>tipo=venta; área_producción=general; uso_presentación=remission; fuente_presentación=manual; sku=VEN-ROSCON-000448</t>
  </si>
  <si>
    <t>6c81f20a-23fb-424b-a53c-ba5511a609bf</t>
  </si>
  <si>
    <t>Roscón de bocadillo Pequeño</t>
  </si>
  <si>
    <t>2365c260-ae1c-4e12-8975-71c6669b0edc</t>
  </si>
  <si>
    <t>tipo=venta; área_producción=general; uso_presentación=remission; fuente_presentación=manual; sku=VEN-ROSCON-000449</t>
  </si>
  <si>
    <t>273f8b83-6b45-4046-8101-a99a2730e86f</t>
  </si>
  <si>
    <t>Rub de Especias</t>
  </si>
  <si>
    <t>tipo=preparacion; área_producción=general; sku=PRE-RUBDEE-000425</t>
  </si>
  <si>
    <t>b5bdd3ba-cd34-41af-876a-a089a83ea56d</t>
  </si>
  <si>
    <t>Rúgula Baby</t>
  </si>
  <si>
    <t>434f7efd-4b20-41d9-b78f-f64c0047718c</t>
  </si>
  <si>
    <t>Bolsa de 250 g</t>
  </si>
  <si>
    <t>tipo=insumo; área_producción=general; uso_presentación=remission; fuente_presentación=manual; 1 presentación(es) adicional(es) en Supabase; sku=INS-RUGULA-000127</t>
  </si>
  <si>
    <t>37313d68-3e52-4509-80ef-a7fd3647f6da</t>
  </si>
  <si>
    <t>Sal</t>
  </si>
  <si>
    <t>c2ae87a0-0792-4e9c-af66-84fec3ad1cc8</t>
  </si>
  <si>
    <t>tipo=insumo; área_producción=general; uso_presentación=remission; fuente_presentación=manual; 2 presentación(es) adicional(es) en Supabase; sku=INS-SAL-000021</t>
  </si>
  <si>
    <t>64273d7e-6692-4769-975b-392f9eee5edb</t>
  </si>
  <si>
    <t>Sal Marina</t>
  </si>
  <si>
    <t>08f56379-e5f3-4a32-a2c1-10c3fed4bae5</t>
  </si>
  <si>
    <t>tipo=insumo; área_producción=general; uso_presentación=remission; fuente_presentación=manual; 1 presentación(es) adicional(es) en Supabase; sku=INS-SALMAR-000122</t>
  </si>
  <si>
    <t>e48dc98f-e2f2-4856-a8f9-161f30d7cebd</t>
  </si>
  <si>
    <t>SALEROS</t>
  </si>
  <si>
    <t>tipo=insumo; área_producción=general; sku=EQP-SALERO-000844</t>
  </si>
  <si>
    <t>5cc0d070-c4ec-4552-b35c-c7d03492a39f</t>
  </si>
  <si>
    <t>Salmón Ahumado</t>
  </si>
  <si>
    <t>Pescados y Mariscos</t>
  </si>
  <si>
    <t>14af73b6-848b-4c51-a8ff-4ebd95652998</t>
  </si>
  <si>
    <t>Paquete de 100 g</t>
  </si>
  <si>
    <t>tipo=insumo; área_producción=general; uso_presentación=remission; fuente_presentación=manual; 2 presentación(es) adicional(es) en Supabase; sku=INS-SALMON-000024</t>
  </si>
  <si>
    <t>84b9ef4a-acd7-4c9c-97fc-ed7b609dd28f</t>
  </si>
  <si>
    <t>Salmuera Roast Beef</t>
  </si>
  <si>
    <t>tipo=preparacion; área_producción=general; sku=PRE-SALMUE-000523</t>
  </si>
  <si>
    <t>5801b6bb-240e-4f07-a6fd-c1408cd42fc5</t>
  </si>
  <si>
    <t>Salsa BBQ</t>
  </si>
  <si>
    <t>f7c07c85-b00f-4b70-970d-234e01943a67</t>
  </si>
  <si>
    <t>Pote de 1.080 g</t>
  </si>
  <si>
    <t>tipo=insumo; área_producción=general; uso_presentación=general; fuente_presentación=manual; 1 presentación(es) adicional(es) en Supabase; sku=INS-SALSAB-000428</t>
  </si>
  <si>
    <t>88cd625b-40a0-4ba9-aaf0-37751d187dd9</t>
  </si>
  <si>
    <t>Salsa BBQ de Guayaba</t>
  </si>
  <si>
    <t>tipo=preparacion; área_producción=general; sku=PRE-SALSAB-000242</t>
  </si>
  <si>
    <t>ab9cc7cf-7c99-4c65-9d21-6667ca0649f9</t>
  </si>
  <si>
    <t>Salsa de Pimienta</t>
  </si>
  <si>
    <t>tipo=preparacion; área_producción=general; sku=PRE-SALSAD-000249</t>
  </si>
  <si>
    <t>57808baa-cb8d-47af-9256-05d90f568633</t>
  </si>
  <si>
    <t>Salsa de Quesos</t>
  </si>
  <si>
    <t>tipo=preparacion; área_producción=general; sku=PRE-SALSAD-000243</t>
  </si>
  <si>
    <t>93733fdf-0728-4afe-bf19-0512887184bd</t>
  </si>
  <si>
    <t>Salsa Holandesa 450gr</t>
  </si>
  <si>
    <t>tipo=preparacion; área_producción=general; sku=PRE-SALSAH-000245</t>
  </si>
  <si>
    <t>0d18fcec-df74-447f-8df0-7cad8abf021c</t>
  </si>
  <si>
    <t>Salsa Mostaza</t>
  </si>
  <si>
    <t>cf4726e5-593f-4ba8-b07e-a6733f978977</t>
  </si>
  <si>
    <t>Bolsa de 2.000 g</t>
  </si>
  <si>
    <t>tipo=insumo; área_producción=general; uso_presentación=general; fuente_presentación=manual; 2 presentación(es) adicional(es) en Supabase; sku=INS-SALSAM-000586</t>
  </si>
  <si>
    <t>83a07027-cada-4dab-8f02-9a66acb26aaf</t>
  </si>
  <si>
    <t>Salsa para Ahumar</t>
  </si>
  <si>
    <t>5a494454-2a5e-4df3-a58a-8ffef9dade6c</t>
  </si>
  <si>
    <t>tipo=insumo; área_producción=general; uso_presentación=general; fuente_presentación=manual; 1 presentación(es) adicional(es) en Supabase; sku=INS-SALSAP-000430</t>
  </si>
  <si>
    <t>c6d212ed-9edd-4715-992c-219b37c3ca4e</t>
  </si>
  <si>
    <t>Salseros</t>
  </si>
  <si>
    <t>af52bee9-09cb-4a51-9e9d-75967562cad6</t>
  </si>
  <si>
    <t>tipo=insumo; área_producción=general; uso_presentación=remission; fuente_presentación=manual; 2 presentación(es) adicional(es) en Supabase; sku=INS-BASESA-000263</t>
  </si>
  <si>
    <t>a2029212-ad3a-4d02-8c8c-4e6e2ce96208</t>
  </si>
  <si>
    <t>Sandwich de Blue Philly</t>
  </si>
  <si>
    <t>tipo=venta; área_producción=general; sku=VEN-SANDWI-000769</t>
  </si>
  <si>
    <t>b80abfff-3b79-4fc0-a31f-692835ce5852</t>
  </si>
  <si>
    <t>Sandwich de Huevo &amp; Tocineta</t>
  </si>
  <si>
    <t>tipo=venta; área_producción=general; sku=VEN-SANDWI-000761</t>
  </si>
  <si>
    <t>aa9fa40c-84d7-404c-bb44-793af8173080</t>
  </si>
  <si>
    <t>Sandwich de lomo</t>
  </si>
  <si>
    <t>tipo=venta; área_producción=general; sku=VEN-SANDWI-000619</t>
  </si>
  <si>
    <t>e31f7038-6d76-4e70-b3e2-c184ac00efa2</t>
  </si>
  <si>
    <t>Sandwich de Pavo Club</t>
  </si>
  <si>
    <t>tipo=venta; área_producción=general; sku=VEN-ENSALA-000762</t>
  </si>
  <si>
    <t>6ac2d447-81d5-4230-ae49-d378002adbef</t>
  </si>
  <si>
    <t>Sandwich de Pollo &amp; Aguacate</t>
  </si>
  <si>
    <t>tipo=venta; área_producción=general; sku=VEN-ENSALA-000763</t>
  </si>
  <si>
    <t>58dde552-fd5a-4202-a7a2-b1165ae3ea84</t>
  </si>
  <si>
    <t>Sandwich de Pollo Crispy</t>
  </si>
  <si>
    <t>tipo=venta; área_producción=general; sku=VEN-ENSALA-000764</t>
  </si>
  <si>
    <t>4c7bd2a0-d776-42f5-9425-74ffdd79d19e</t>
  </si>
  <si>
    <t>Sandwich de Pulled Pork</t>
  </si>
  <si>
    <t>tipo=venta; área_producción=general; sku=VEN-SANDWI-000768</t>
  </si>
  <si>
    <t>25bc99ea-4f17-4d9c-b7b2-45410bf3782f</t>
  </si>
  <si>
    <t>Sandwich de Quesos</t>
  </si>
  <si>
    <t>tipo=venta; área_producción=general; sku=VEN-SANDWI-000760</t>
  </si>
  <si>
    <t>8caf560e-8666-4adb-bdda-2bc1326cd863</t>
  </si>
  <si>
    <t>Sandwich de Roast Beef</t>
  </si>
  <si>
    <t>tipo=venta; área_producción=general; sku=VEN-SANDWI-000765</t>
  </si>
  <si>
    <t>40937b36-d3ca-4cb5-bb89-c17488bb05a4</t>
  </si>
  <si>
    <t>Selladora</t>
  </si>
  <si>
    <t>tipo=insumo; área_producción=general; sku=EQP-SELLAD-000546</t>
  </si>
  <si>
    <t>2b072cb8-0d30-4410-bcb7-f2a6d655994f</t>
  </si>
  <si>
    <t>Semillas de Amapola</t>
  </si>
  <si>
    <t>1a8da4aa-5532-4867-aad5-eee28d14744b</t>
  </si>
  <si>
    <t>tipo=insumo; área_producción=general; uso_presentación=general; fuente_presentación=manual; 1 presentación(es) adicional(es) en Supabase; sku=INS-SEMILL-000215</t>
  </si>
  <si>
    <t>3beb5fbf-4da6-4d1d-b888-d5ce90564e6d</t>
  </si>
  <si>
    <t>Semillas de Calabaza</t>
  </si>
  <si>
    <t>2abd7a2c-1784-4820-8c96-1cfc72fc0e49</t>
  </si>
  <si>
    <t>tipo=insumo; área_producción=general; uso_presentación=general; fuente_presentación=manual; 1 presentación(es) adicional(es) en Supabase; sku=INS-SEMILL-000648</t>
  </si>
  <si>
    <t>2fd062af-e75b-40ee-8fc1-351cc01342ee</t>
  </si>
  <si>
    <t>Semillas de Chia</t>
  </si>
  <si>
    <t>096cc95f-0ddd-4db2-9541-117b331dfb20</t>
  </si>
  <si>
    <t>tipo=insumo; área_producción=general; uso_presentación=general; fuente_presentación=manual; 1 presentación(es) adicional(es) en Supabase; sku=INS-SEMILL-000643</t>
  </si>
  <si>
    <t>6eb04ac5-c779-4467-a349-3fe9a6513f15</t>
  </si>
  <si>
    <t>Semillas de Girasol</t>
  </si>
  <si>
    <t>eb7c5c98-96d0-46df-9807-22993a181ea4</t>
  </si>
  <si>
    <t>tipo=insumo; área_producción=general; uso_presentación=general; fuente_presentación=manual; 1 presentación(es) adicional(es) en Supabase; sku=INS-SEMILL-000490</t>
  </si>
  <si>
    <t>e3d51650-27f6-4116-8f01-39469ff41add</t>
  </si>
  <si>
    <t>Semillas de Quinoa</t>
  </si>
  <si>
    <t>60510ec7-80a9-46ab-a1fe-6268b8c33e25</t>
  </si>
  <si>
    <t>tipo=insumo; área_producción=general; uso_presentación=general; fuente_presentación=manual; 1 presentación(es) adicional(es) en Supabase; sku=INS-SEMILL-000649</t>
  </si>
  <si>
    <t>d03ba8c8-661d-4e20-8211-6105a0a87032</t>
  </si>
  <si>
    <t>Sémola de Trigo</t>
  </si>
  <si>
    <t>2b9c409f-3845-447e-969a-c1087b476b73</t>
  </si>
  <si>
    <t>tipo=insumo; área_producción=general; uso_presentación=remission; fuente_presentación=manual; 2 presentación(es) adicional(es) en Supabase; sku=INS-SEMOLA-000037</t>
  </si>
  <si>
    <t>1be61e39-b381-406c-b497-73b2dbb62297</t>
  </si>
  <si>
    <t>Servilletas Saudo</t>
  </si>
  <si>
    <t>6da90ace-8245-4e5d-b947-9077ce5fd14b</t>
  </si>
  <si>
    <t>tipo=insumo; área_producción=general; uso_presentación=remission; fuente_presentación=manual; 1 presentación(es) adicional(es) en Supabase; sku=INS-SERVIL-000129</t>
  </si>
  <si>
    <t>c9356466-9179-4b20-9a66-50dc817919ca</t>
  </si>
  <si>
    <t>Servilletas Vento</t>
  </si>
  <si>
    <t>fe830c83-e77a-46b7-9daa-90e194890882</t>
  </si>
  <si>
    <t>tipo=insumo; área_producción=general; uso_presentación=remission; fuente_presentación=manual; 2 presentación(es) adicional(es) en Supabase; sku=INS-SERVIL-000633</t>
  </si>
  <si>
    <t>1cc8f9c3-8d97-4b7d-b9a5-54dabb91bdb9</t>
  </si>
  <si>
    <t>Sillas azules saudo</t>
  </si>
  <si>
    <t>tipo=insumo; área_producción=general; sku=EQP-SILLAS-000670</t>
  </si>
  <si>
    <t>e7fb3a22-2cf2-4746-840c-59c42e52504d</t>
  </si>
  <si>
    <t>Sillas de rejilla</t>
  </si>
  <si>
    <t>tipo=insumo; área_producción=general; sku=EQP-SILLAS-000994</t>
  </si>
  <si>
    <t>3383ff31-34cd-40b0-8717-eb8dd464b8d5</t>
  </si>
  <si>
    <t>Sillas grises saudo</t>
  </si>
  <si>
    <t>tipo=insumo; área_producción=general; sku=EQP-SILLAS-000775</t>
  </si>
  <si>
    <t>0f16cc3f-560e-44d0-a56e-e9c9c83816a2</t>
  </si>
  <si>
    <t>Sillas secretariales</t>
  </si>
  <si>
    <t>tipo=insumo; área_producción=general; sku=EQP-SILLAS-000667</t>
  </si>
  <si>
    <t>a2efc649-2146-4b61-89bf-a96eb066e62e</t>
  </si>
  <si>
    <t>Smoothie Berry</t>
  </si>
  <si>
    <t>tipo=venta; área_producción=general; sku=VEN-SMOOTH-000713</t>
  </si>
  <si>
    <t>e5551867-4329-48c1-8b6e-6e72c17f0b0a</t>
  </si>
  <si>
    <t>Smoothie Berry 200gr</t>
  </si>
  <si>
    <t>tipo=preparacion; área_producción=general; sku=PRE-SMOOTH-000308</t>
  </si>
  <si>
    <t>6ca54b37-43d5-49b3-9044-80678e785f3e</t>
  </si>
  <si>
    <t>Smoothie Tropical</t>
  </si>
  <si>
    <t>tipo=venta; área_producción=general; sku=VEN-SMOOTH-000714</t>
  </si>
  <si>
    <t>be5f445b-28bd-421d-a881-c74cac0513bb</t>
  </si>
  <si>
    <t>Smoothie Tropical 200gr</t>
  </si>
  <si>
    <t>tipo=preparacion; área_producción=general; sku=PRE-SMOOTH-000309</t>
  </si>
  <si>
    <t>edba4b2c-a5ec-49d6-8c7a-ee1eaba942d9</t>
  </si>
  <si>
    <t>Sobre de Sal</t>
  </si>
  <si>
    <t>9526d26b-d33d-4114-9f3d-e056e89b55a3</t>
  </si>
  <si>
    <t>tipo=insumo; área_producción=general; uso_presentación=remission; fuente_presentación=manual; 2 presentación(es) adicional(es) en Supabase; sku=INS-SOBRED-000350</t>
  </si>
  <si>
    <t>008d61d5-18a1-41db-8ff4-e6afd342b615</t>
  </si>
  <si>
    <t>Soda Bretaña</t>
  </si>
  <si>
    <t>f4447104-6370-4af9-a68e-27bec73506c4</t>
  </si>
  <si>
    <t>tipo=venta; área_producción=general; uso_presentación=remission; fuente_presentación=manual; 2 presentación(es) adicional(es) en Supabase; sku=VEN-SODABR-000059</t>
  </si>
  <si>
    <t>5a79b260-2e87-4af0-89ca-16f48d13274d</t>
  </si>
  <si>
    <t>Soda de arándanos</t>
  </si>
  <si>
    <t>tipo=venta; área_producción=general; sku=VEN-SODADE-000622</t>
  </si>
  <si>
    <t>899683c2-6c23-4799-ad7d-019d5a0a9c14</t>
  </si>
  <si>
    <t>Soda de Frutos Amarillos</t>
  </si>
  <si>
    <t>tipo=venta; área_producción=general; sku=VEN-SODADE-000707</t>
  </si>
  <si>
    <t>58d044b0-2f49-42cc-952f-d10e6c26b20a</t>
  </si>
  <si>
    <t>Soda de Frutos Rojos</t>
  </si>
  <si>
    <t>tipo=venta; área_producción=general; sku=VEN-SODADE-000706</t>
  </si>
  <si>
    <t>9673c1ec-edb2-43a1-b67a-da018310b803</t>
  </si>
  <si>
    <t>Soda de Sandía</t>
  </si>
  <si>
    <t>tipo=venta; área_producción=general; sku=VEN-SODADE-000705</t>
  </si>
  <si>
    <t>0c88bbea-4717-46a5-abe3-632521007012</t>
  </si>
  <si>
    <t>Soda de Tamarindo</t>
  </si>
  <si>
    <t>tipo=venta; área_producción=general; sku=VEN-SODADE-000708</t>
  </si>
  <si>
    <t>b322762d-9cc1-43d8-832e-66659eb63e74</t>
  </si>
  <si>
    <t>Soda Hatsu Frambuesa &amp; Rosas</t>
  </si>
  <si>
    <t>505f9341-21df-4ba1-8972-9f9b602a3f8b</t>
  </si>
  <si>
    <t>tipo=venta; área_producción=general; uso_presentación=remission; fuente_presentación=manual; 2 presentación(es) adicional(es) en Supabase; sku=VEN-SODAHA-000009</t>
  </si>
  <si>
    <t>0f839b07-be3a-46b3-bee2-582fb52a59b1</t>
  </si>
  <si>
    <t>Soda Hatsu Sandía &amp; Albahaca</t>
  </si>
  <si>
    <t>ade37034-923f-44a3-b468-d3d8295c544e</t>
  </si>
  <si>
    <t>tipo=venta; área_producción=general; uso_presentación=remission; fuente_presentación=manual; 2 presentación(es) adicional(es) en Supabase; sku=VEN-SODAHA-000008</t>
  </si>
  <si>
    <t>7f579239-ba9e-4c78-90a9-635e2b2a33be</t>
  </si>
  <si>
    <t>Soda Lychee &amp; Rosas</t>
  </si>
  <si>
    <t>tipo=venta; área_producción=general; sku=VEN-SODALY-000709</t>
  </si>
  <si>
    <t>c58eabc4-5ad7-4872-9b4b-6c76268e3409</t>
  </si>
  <si>
    <t>Soleil</t>
  </si>
  <si>
    <t>tipo=venta; área_producción=general; sku=VEN-SOLEIL-000743</t>
  </si>
  <si>
    <t>66908ec9-1fb3-45fd-ad27-e2f92a963aab</t>
  </si>
  <si>
    <t>Sopa de calabaza</t>
  </si>
  <si>
    <t>Otros de venta</t>
  </si>
  <si>
    <t>tipo=venta; área_producción=general; sku=VEN-SOPADE-000754</t>
  </si>
  <si>
    <t>73110168-6dfa-4281-acbb-ee02729d7270</t>
  </si>
  <si>
    <t>Sopa de Tomate San Marzano</t>
  </si>
  <si>
    <t>tipo=venta; área_producción=general; sku=VEN-SOPADE-000755</t>
  </si>
  <si>
    <t>afbcac6a-650e-4fd4-9e85-f92b55a199dc</t>
  </si>
  <si>
    <t>Splenda Sobre</t>
  </si>
  <si>
    <t>dff2ea65-9433-4a82-81a2-88b99e279832</t>
  </si>
  <si>
    <t>Caja de 700 un</t>
  </si>
  <si>
    <t>tipo=insumo; área_producción=general; uso_presentación=remission; fuente_presentación=manual; 2 presentación(es) adicional(es) en Supabase; sku=INS-SPLEND-000164</t>
  </si>
  <si>
    <t>b6212d56-325c-47c2-9b5a-0af2796930ac</t>
  </si>
  <si>
    <t>Spray de Olor</t>
  </si>
  <si>
    <t>89716a1b-7371-433a-b6e3-24dcaaf68961</t>
  </si>
  <si>
    <t>tipo=insumo; área_producción=general; uso_presentación=remission; fuente_presentación=manual; 1 presentación(es) adicional(es) en Supabase; sku=INS-SPRAYD-000154</t>
  </si>
  <si>
    <t>b5bd54be-e6ae-40a9-aeea-e89bd0f28bbf</t>
  </si>
  <si>
    <t>Sriracha</t>
  </si>
  <si>
    <t>ca67af68-ac75-4105-b167-7d2091d5a93e</t>
  </si>
  <si>
    <t>Pote 500 ml</t>
  </si>
  <si>
    <t>tipo=insumo; área_producción=general; uso_presentación=remission; fuente_presentación=manual; 2 presentación(es) adicional(es) en Supabase; sku=INS-SRIRAC-000214</t>
  </si>
  <si>
    <t>d5ecd6d4-affb-43ab-8b44-326168f71e2d</t>
  </si>
  <si>
    <t>Stickers Molka</t>
  </si>
  <si>
    <t>c33db80e-e93b-4c77-8b0d-c3c387531aac</t>
  </si>
  <si>
    <t>tipo=insumo; área_producción=general; uso_presentación=remission; fuente_presentación=manual; 2 presentación(es) adicional(es) en Supabase; sku=INS-STICKE-000521</t>
  </si>
  <si>
    <t>13ee6f98-2997-43e2-aab3-a7a46d8ca398</t>
  </si>
  <si>
    <t>Suero Costeño</t>
  </si>
  <si>
    <t>5714d4de-7422-45fe-8fd1-fc74188d8ed6</t>
  </si>
  <si>
    <t>Bolsa de 200 g</t>
  </si>
  <si>
    <t>tipo=insumo; área_producción=general; uso_presentación=remission; fuente_presentación=manual; 2 presentación(es) adicional(es) en Supabase; sku=INS-SUEROC-000193</t>
  </si>
  <si>
    <t>f0fdd33a-b03d-4ea3-9bb9-c499f19d7f44</t>
  </si>
  <si>
    <t>Super Molde Brioche</t>
  </si>
  <si>
    <t>tipo=preparacion; área_producción=general; sku=PRE-SUPERM-000097</t>
  </si>
  <si>
    <t>722839e3-47b4-414f-b260-b62a39dda683</t>
  </si>
  <si>
    <t>Super Molde Masa Madre</t>
  </si>
  <si>
    <t>tipo=preparacion; área_producción=general; sku=PRE-SUPERM-000098</t>
  </si>
  <si>
    <t>697b325b-ae6e-47af-917a-7dc34c891dac</t>
  </si>
  <si>
    <t>Suprema de Pollo</t>
  </si>
  <si>
    <t>tipo=venta; área_producción=general; sku=VEN-SUPREM-000751</t>
  </si>
  <si>
    <t>692109f1-5387-4b55-a7a5-d3ee5184f5e0</t>
  </si>
  <si>
    <t>Suprema de Pollo 200gr</t>
  </si>
  <si>
    <t>tipo=preparacion; área_producción=general; sku=PRE-SUPREM-000246</t>
  </si>
  <si>
    <t>b591f230-81ec-4f6a-93ec-7fa7baa90588</t>
  </si>
  <si>
    <t>Suspiro de Amarenas</t>
  </si>
  <si>
    <t>tipo=venta; área_producción=general; sku=VEN-SUSPIR-000719</t>
  </si>
  <si>
    <t>1830f7b5-fbcb-42f5-9eb9-1fccfd5d8e8a</t>
  </si>
  <si>
    <t>Syrup Crema de Coco</t>
  </si>
  <si>
    <t>cc502d8d-4898-478f-bcc2-2ed1661d3506</t>
  </si>
  <si>
    <t>tipo=insumo; área_producción=general; uso_presentación=remission; fuente_presentación=manual; 2 presentación(es) adicional(es) en Supabase; sku=INS-SYRUPC-000285</t>
  </si>
  <si>
    <t>a4f5cf72-ac28-4c7c-bdc2-e773a3f2a1be</t>
  </si>
  <si>
    <t>Syrup de Frutos Amarillos</t>
  </si>
  <si>
    <t>f5fdc375-10e9-4070-bd1d-d2a27483e811</t>
  </si>
  <si>
    <t>tipo=insumo; área_producción=general; uso_presentación=remission; fuente_presentación=manual; 2 presentación(es) adicional(es) en Supabase; sku=INS-SYRUPD-000149</t>
  </si>
  <si>
    <t>62ec0c70-679d-49b5-9e3e-b9e058b5c184</t>
  </si>
  <si>
    <t>Syrup de Frutos Rojos</t>
  </si>
  <si>
    <t>9a14bac9-8c34-4ba6-9f64-2b54b0a4af11</t>
  </si>
  <si>
    <t>tipo=insumo; área_producción=general; uso_presentación=remission; fuente_presentación=manual; 2 presentación(es) adicional(es) en Supabase; sku=INS-SYRUPD-000150</t>
  </si>
  <si>
    <t>51655c42-0dae-4c1b-a763-9c6f2f07c93b</t>
  </si>
  <si>
    <t>Syrup Hersheys Chocolate</t>
  </si>
  <si>
    <t>296d2766-370a-4b65-856a-87e51ca697d6</t>
  </si>
  <si>
    <t>Pote de 1.36 kg</t>
  </si>
  <si>
    <t>tipo=insumo; área_producción=general; uso_presentación=remission; fuente_presentación=manual; 2 presentación(es) adicional(es) en Supabase; sku=INS-SYRUPH-000118</t>
  </si>
  <si>
    <t>ee4b5f1b-170d-4cfe-8a7c-0d48f2195ca5</t>
  </si>
  <si>
    <t>Syrup Miel</t>
  </si>
  <si>
    <t>19cd3a91-48d2-42ac-b36a-3714b6cb05c2</t>
  </si>
  <si>
    <t>Pote 2.800 g</t>
  </si>
  <si>
    <t>tipo=insumo; área_producción=general; uso_presentación=remission; fuente_presentación=manual; 1 presentación(es) adicional(es) en Supabase; sku=INS-SYRUPM-000091</t>
  </si>
  <si>
    <t>498149bb-84cc-4d39-90e2-39ee6eff0e8f</t>
  </si>
  <si>
    <t>Syrup Vainilla Francesa</t>
  </si>
  <si>
    <t>7d32bfbd-5b84-49b9-bd3f-02249d1a9712</t>
  </si>
  <si>
    <t>tipo=insumo; área_producción=general; uso_presentación=remission; fuente_presentación=manual; 1 presentación(es) adicional(es) en Supabase; sku=INS-SYRUPV-000286</t>
  </si>
  <si>
    <t>92145d9e-e79c-44f2-a2be-4ab98f3e8f60</t>
  </si>
  <si>
    <t>TABLA GRANDE PICAR</t>
  </si>
  <si>
    <t>tipo=insumo; área_producción=general; sku=EQP-TABLAG-000843</t>
  </si>
  <si>
    <t>0972d7f5-f0a6-43ce-9d6a-beaeab815a5a</t>
  </si>
  <si>
    <t>TABLA MADERA</t>
  </si>
  <si>
    <t>tipo=insumo; área_producción=general; sku=EQP-TABLAM-000833</t>
  </si>
  <si>
    <t>3bdcebd4-8fd7-462a-b295-b4aa39f1ab54</t>
  </si>
  <si>
    <t>TABLA PICAR PEQUE</t>
  </si>
  <si>
    <t>tipo=insumo; área_producción=general; sku=EQP-TABLAP-000832</t>
  </si>
  <si>
    <t>5ca6e162-9331-4246-bcff-87328ce87121</t>
  </si>
  <si>
    <t>Tablet lenovo</t>
  </si>
  <si>
    <t>tipo=insumo; área_producción=general; sku=EQP-TABLET-000985</t>
  </si>
  <si>
    <t>a3e9d09b-3027-455b-bf56-3eb2ebaf259e</t>
  </si>
  <si>
    <t>Tajadora de pan</t>
  </si>
  <si>
    <t>tipo=insumo; área_producción=general; sku=EQP-TAJADO-000929</t>
  </si>
  <si>
    <t>52cb8eec-7ab4-4314-890d-18f0cbb6ef00</t>
  </si>
  <si>
    <t>Tajín</t>
  </si>
  <si>
    <t>9063599e-15df-4aa9-aee9-a8c13c3b08da</t>
  </si>
  <si>
    <t>Pote de 200 gr</t>
  </si>
  <si>
    <t>tipo=insumo; área_producción=general; uso_presentación=remission; fuente_presentación=manual; 2 presentación(es) adicional(es) en Supabase; sku=INS-TAJIN-000327</t>
  </si>
  <si>
    <t>76768332-cb66-4593-9e46-add910018576</t>
  </si>
  <si>
    <t>Tanque congelacion 535 litros</t>
  </si>
  <si>
    <t>tipo=insumo; área_producción=general; sku=EQP-TANQUE-000570</t>
  </si>
  <si>
    <t>090ea58e-c2fc-4a50-a91b-a18c64af580f</t>
  </si>
  <si>
    <t>Tanque congelacion 708 litros</t>
  </si>
  <si>
    <t>tipo=insumo; área_producción=general; sku=EQP-TANQUE-000552</t>
  </si>
  <si>
    <t>7562c7c9-aa47-4f78-a403-12a0a3a2fb2f</t>
  </si>
  <si>
    <t>Tanque congelador</t>
  </si>
  <si>
    <t>tipo=insumo; área_producción=general; sku=EQP-TANQUE-000538</t>
  </si>
  <si>
    <t>0c6a482b-d8f0-47fa-8d63-b21cd8d3cc8d</t>
  </si>
  <si>
    <t>Tanque congelador 535 litros</t>
  </si>
  <si>
    <t>tipo=insumo; área_producción=general; sku=EQP-TANQUE-000534</t>
  </si>
  <si>
    <t>f169410b-fe0e-42d4-815c-e588daa5c2a8</t>
  </si>
  <si>
    <t>Tapa Bowl 1300</t>
  </si>
  <si>
    <t>2967fa3b-98b8-48ea-bf22-92ce2ac631a5</t>
  </si>
  <si>
    <t>tipo=insumo; área_producción=general; uso_presentación=remission; fuente_presentación=manual; 1 presentación(es) adicional(es) en Supabase; sku=INS-TAPABO-000253</t>
  </si>
  <si>
    <t>444db9bc-4fb6-440b-9c96-773b5e765acb</t>
  </si>
  <si>
    <t>Tapa Bowl 750</t>
  </si>
  <si>
    <t>c2a223df-b140-47c9-b710-00ab571e1fae</t>
  </si>
  <si>
    <t>tipo=insumo; área_producción=general; uso_presentación=remission; fuente_presentación=manual; 1 presentación(es) adicional(es) en Supabase; sku=INS-TAPABO-000255</t>
  </si>
  <si>
    <t>4722879f-bedd-4369-9504-0ec90410a577</t>
  </si>
  <si>
    <t>Tapa Contenedor Fruta Talla M</t>
  </si>
  <si>
    <t>31761e6e-d5a6-4a62-94c8-7f8d8f3c2876</t>
  </si>
  <si>
    <t>tipo=insumo; área_producción=general; uso_presentación=remission; fuente_presentación=manual; sku=INS-TAPACO-000257</t>
  </si>
  <si>
    <t>2eae204a-685d-4257-ab7a-1826d72c0ee2</t>
  </si>
  <si>
    <t>Tapa Cuchareables Molka</t>
  </si>
  <si>
    <t>a8fc1a67-22c3-4042-b769-ec4da8439c21</t>
  </si>
  <si>
    <t>tipo=insumo; área_producción=general; uso_presentación=remission; fuente_presentación=manual; 1 presentación(es) adicional(es) en Supabase; sku=INS-TAPACU-000516</t>
  </si>
  <si>
    <t>0b7c43ec-4955-427f-9203-9b8188d8c299</t>
  </si>
  <si>
    <t>Tapa Domo 16 oz Molka</t>
  </si>
  <si>
    <t>c198f671-2fdd-441e-a444-c1b09a8308a6</t>
  </si>
  <si>
    <t>tipo=insumo; área_producción=general; uso_presentación=remission; fuente_presentación=manual; 1 presentación(es) adicional(es) en Supabase; sku=INS-TAPADO-000515</t>
  </si>
  <si>
    <t>b25e3597-de0e-4265-9981-4b0bcddef24d</t>
  </si>
  <si>
    <t>Tapa Malteadas</t>
  </si>
  <si>
    <t>cf3e11c7-f9bd-4ae0-8813-a88e4c3a3e11</t>
  </si>
  <si>
    <t>Paquete 50 un</t>
  </si>
  <si>
    <t>tipo=insumo; área_producción=general; uso_presentación=remission; fuente_presentación=supplier_primary; 1 presentación(es) adicional(es) en Supabase; sku=INS-TAPAMA-000283</t>
  </si>
  <si>
    <t>654001b7-8d3c-4ed3-9e35-e80415caf4a5</t>
  </si>
  <si>
    <t>Tapa Plana 16 oz Molka</t>
  </si>
  <si>
    <t>8cdccf34-adc8-4030-8c6b-86aeaa8df348</t>
  </si>
  <si>
    <t>tipo=insumo; área_producción=general; uso_presentación=remission; fuente_presentación=manual; 1 presentación(es) adicional(es) en Supabase; sku=INS-TAPAPL-000514</t>
  </si>
  <si>
    <t>aa3d1c65-e7cb-4c55-9027-531bab7db95e</t>
  </si>
  <si>
    <t>Tapa Plana Vaso 14oz</t>
  </si>
  <si>
    <t>0f891a77-846e-40b8-aa44-15859daecd48</t>
  </si>
  <si>
    <t>tipo=insumo; área_producción=general; uso_presentación=remission; fuente_presentación=manual; 1 presentación(es) adicional(es) en Supabase; sku=INS-TAPAPL-000282</t>
  </si>
  <si>
    <t>4589a955-2f36-4c18-9415-0987466b185b</t>
  </si>
  <si>
    <t>Tapa Vaso de Café 7oz</t>
  </si>
  <si>
    <t>402f8974-fdf3-44d9-bbb9-29a49a6c3878</t>
  </si>
  <si>
    <t>tipo=insumo; área_producción=general; uso_presentación=remission; fuente_presentación=manual; 1 presentación(es) adicional(es) en Supabase; sku=INS-TAPAVA-000276</t>
  </si>
  <si>
    <t>84049a84-fb60-4bfc-83df-0a21688e8762</t>
  </si>
  <si>
    <t>Tapa Vaso de Café 9oz</t>
  </si>
  <si>
    <t>fb38e20f-10ba-4a40-abb9-aa419f2b4ce5</t>
  </si>
  <si>
    <t>tipo=insumo; área_producción=general; uso_presentación=remission; fuente_presentación=manual; 1 presentación(es) adicional(es) en Supabase; sku=INS-TAPAVA-000278</t>
  </si>
  <si>
    <t>9dcd3328-4c7d-48ce-966a-5109d6045bfb</t>
  </si>
  <si>
    <t>Tapa Viajera 12 oz Molka</t>
  </si>
  <si>
    <t>0e60a0fd-96eb-471e-acc6-c4030c538125</t>
  </si>
  <si>
    <t>tipo=insumo; área_producción=general; uso_presentación=remission; fuente_presentación=manual; 1 presentación(es) adicional(es) en Supabase; sku=INS-TAPAVI-000513</t>
  </si>
  <si>
    <t>81ceac83-7a58-4a09-906f-e95dfe6b474b</t>
  </si>
  <si>
    <t>Tapa Viajera 9 oz Molka</t>
  </si>
  <si>
    <t>45ce2939-6e32-4c92-ae89-62866212cec3</t>
  </si>
  <si>
    <t>tipo=insumo; área_producción=general; uso_presentación=remission; fuente_presentación=manual; 1 presentación(es) adicional(es) en Supabase; sku=INS-TAPAVI-000512</t>
  </si>
  <si>
    <t>08e349a2-d85d-4466-a67c-e3f7d508dffa</t>
  </si>
  <si>
    <t>Tapitas</t>
  </si>
  <si>
    <t>tipo=venta; área_producción=general; sku=VEN-TAPITA-000728</t>
  </si>
  <si>
    <t>31693af7-ab13-4c39-9920-8093c09ef3de</t>
  </si>
  <si>
    <t>Tarjeta de Regalo Vento</t>
  </si>
  <si>
    <t>1f6370a3-8877-4a26-b08f-44715bb95cfc</t>
  </si>
  <si>
    <t>tipo=insumo; área_producción=general; uso_presentación=remission; fuente_presentación=manual; 1 presentación(es) adicional(es) en Supabase; sku=INS-TARJET-000916</t>
  </si>
  <si>
    <t>e6863b92-2953-4ecf-bda5-50ddafe62e94</t>
  </si>
  <si>
    <t>Tarro chino de litro</t>
  </si>
  <si>
    <t>40fd6000-3410-4046-a96e-8801a06cf683</t>
  </si>
  <si>
    <t>tipo=insumo; área_producción=general; uso_presentación=purchase; fuente_presentación=supplier_primary; sku=INS-TARROC-000631</t>
  </si>
  <si>
    <t>67ebf927-9d6e-484d-9822-b693068b0d88</t>
  </si>
  <si>
    <t>Tarro chino medio litro</t>
  </si>
  <si>
    <t>f249c6eb-a9a9-49e5-9758-caa5dd93493a</t>
  </si>
  <si>
    <t>pote 50 un</t>
  </si>
  <si>
    <t>tipo=insumo; área_producción=general; uso_presentación=purchase; fuente_presentación=supplier_primary; sku=INS-TARROC-000630</t>
  </si>
  <si>
    <t>f87b45ff-dce7-4b8b-a25c-97d290a02267</t>
  </si>
  <si>
    <t>Tarta de Arándanos</t>
  </si>
  <si>
    <t>523395fb-a13b-457e-9142-082795eebb62</t>
  </si>
  <si>
    <t>tipo=venta; área_producción=general; uso_presentación=remission; fuente_presentación=manual; sku=VEN-TARTAD-000382</t>
  </si>
  <si>
    <t>e569f30f-b3e5-482e-98fa-be4324ec5f6f</t>
  </si>
  <si>
    <t>Tarta de Limón</t>
  </si>
  <si>
    <t>6fc4964c-9feb-45ac-a2ec-c667020b9636</t>
  </si>
  <si>
    <t>tipo=venta; área_producción=general; uso_presentación=remission; fuente_presentación=manual; sku=VEN-TARTAD-000383</t>
  </si>
  <si>
    <t>105069e8-cced-4752-9c07-51a9d40ca682</t>
  </si>
  <si>
    <t>Tarta de Pecanas</t>
  </si>
  <si>
    <t>7d125f4a-e15d-4aa4-8985-43550f960fec</t>
  </si>
  <si>
    <t>tipo=venta; área_producción=general; uso_presentación=remission; fuente_presentación=manual; sku=VEN-TARTAD-000381</t>
  </si>
  <si>
    <t>2ac1c1aa-09b5-4a84-800a-864a62f3a808</t>
  </si>
  <si>
    <t>Tarta de Pistachos</t>
  </si>
  <si>
    <t>ae4563bb-a6ea-4b6c-9620-bc0222b974d1</t>
  </si>
  <si>
    <t>tipo=venta; área_producción=general; uso_presentación=remission; fuente_presentación=manual; sku=VEN-TARTAD-000384</t>
  </si>
  <si>
    <t>b193ee54-2701-4731-a996-eed140820d24</t>
  </si>
  <si>
    <t>TAZA MATCHA</t>
  </si>
  <si>
    <t>tipo=insumo; área_producción=general; sku=EQP-TAZAMA-000803</t>
  </si>
  <si>
    <t>06b1a146-c8ae-423d-9c1a-fe50949ad13a</t>
  </si>
  <si>
    <t>TAZA VIDRIO PEQUEÑA EXPRESSO</t>
  </si>
  <si>
    <t>tipo=insumo; área_producción=general; sku=EQP-TAZAVI-000777</t>
  </si>
  <si>
    <t>6178a7af-36db-4b0b-94a7-cabb733b9138</t>
  </si>
  <si>
    <t>Té Chai</t>
  </si>
  <si>
    <t>29c9edd6-4e90-4b1f-9206-a7a87cf62801</t>
  </si>
  <si>
    <t>Bolsa de 1.58 kg</t>
  </si>
  <si>
    <t>tipo=insumo; área_producción=general; uso_presentación=remission; fuente_presentación=manual; 2 presentación(es) adicional(es) en Supabase; sku=INS-TECHAI-000328</t>
  </si>
  <si>
    <t>3f4939ba-1afe-476d-9e61-039a7f6ffad4</t>
  </si>
  <si>
    <t>Te Hatsu Amarillo</t>
  </si>
  <si>
    <t>ee3b770e-f8b5-491f-8d22-6b8214510e9d</t>
  </si>
  <si>
    <t>Caja 6 un</t>
  </si>
  <si>
    <t>tipo=venta; área_producción=general; uso_presentación=remission; fuente_presentación=manual; 2 presentación(es) adicional(es) en Supabase; sku=VEN-TEHATS-000065</t>
  </si>
  <si>
    <t>efb4f0b9-9fae-4116-a7b6-2a392611c2fb</t>
  </si>
  <si>
    <t>Te Hatsu Blanco</t>
  </si>
  <si>
    <t>3086b5e2-5227-4c46-9bdc-0127c1c1a864</t>
  </si>
  <si>
    <t>tipo=venta; área_producción=general; uso_presentación=remission; fuente_presentación=manual; 2 presentación(es) adicional(es) en Supabase; sku=VEN-TEHATS-000064</t>
  </si>
  <si>
    <t>42ad4143-2469-4ae0-8510-14507b614b6f</t>
  </si>
  <si>
    <t>Te Hatsu Negro</t>
  </si>
  <si>
    <t>9fee07c6-0a34-42cb-807d-843c69971557</t>
  </si>
  <si>
    <t>tipo=venta; área_producción=general; uso_presentación=remission; fuente_presentación=manual; 2 presentación(es) adicional(es) en Supabase; sku=VEN-TEHATS-000063</t>
  </si>
  <si>
    <t>db599e31-59ab-4ac3-9ea0-994ced46dc46</t>
  </si>
  <si>
    <t>Te Hatsu Rojo</t>
  </si>
  <si>
    <t>17536b6d-3e3a-41e8-9eb5-edfd1b9b3be4</t>
  </si>
  <si>
    <t>tipo=venta; área_producción=general; uso_presentación=remission; fuente_presentación=manual; 2 presentación(es) adicional(es) en Supabase; sku=VEN-TEHATS-000066</t>
  </si>
  <si>
    <t>a55f9e90-e40d-4556-bd19-8378da458754</t>
  </si>
  <si>
    <t>TENEDOR</t>
  </si>
  <si>
    <t>tipo=insumo; área_producción=general; sku=EQP-TENEDO-000809</t>
  </si>
  <si>
    <t>a6df1af3-5c6a-411a-8441-d65f7f563051</t>
  </si>
  <si>
    <t>Tequeños de Bocadillo</t>
  </si>
  <si>
    <t>tipo=preparacion; área_producción=general; sku=PRE-TEQUEN-000207</t>
  </si>
  <si>
    <t>b03c23ad-7543-456c-a99c-0e30f06eeee5</t>
  </si>
  <si>
    <t>Tequeños de Queso</t>
  </si>
  <si>
    <t>tipo=preparacion; área_producción=general; sku=PRE-TEQUEN-000206</t>
  </si>
  <si>
    <t>2f1b6d3e-e161-493b-b3a8-944a30bb87cc</t>
  </si>
  <si>
    <t>Tequila Blanco El Jimador</t>
  </si>
  <si>
    <t>22e252b5-631e-4a0c-ac9d-b54cb89ee609</t>
  </si>
  <si>
    <t>tipo=insumo; área_producción=general; uso_presentación=general; fuente_presentación=manual; 1 presentación(es) adicional(es) en Supabase; sku=INS-TEQUIL-000610</t>
  </si>
  <si>
    <t>49b68281-b5fc-43d7-97cb-8e5c2e07c028</t>
  </si>
  <si>
    <t>TETERO SALSERO</t>
  </si>
  <si>
    <t>tipo=insumo; área_producción=general; sku=EQP-TETERO-000842</t>
  </si>
  <si>
    <t>f40aa33a-784c-4f58-a444-b221c6d3f201</t>
  </si>
  <si>
    <t>TIJERAS CLÁSICAS</t>
  </si>
  <si>
    <t>tipo=insumo; área_producción=general; sku=EQP-TIJERA-000840</t>
  </si>
  <si>
    <t>43141356-bba9-4be1-bb90-f1b159df62eb</t>
  </si>
  <si>
    <t>TIJERAS EN L</t>
  </si>
  <si>
    <t>tipo=insumo; área_producción=general; sku=EQP-TIJERA-000825</t>
  </si>
  <si>
    <t>26062d9e-78d2-475e-85dc-3f7e25ef2e3f</t>
  </si>
  <si>
    <t>Tintico</t>
  </si>
  <si>
    <t>tipo=venta; área_producción=general; sku=VEN-TINTIC-000960</t>
  </si>
  <si>
    <t>05cf4d7c-7120-446d-bff9-528040f1ba63</t>
  </si>
  <si>
    <t>Tintico molka</t>
  </si>
  <si>
    <t>tipo=venta; área_producción=general; sku=VEN-TINTIC-000961</t>
  </si>
  <si>
    <t>48b8aaca-aa35-4a3f-8fba-299c26dc9524</t>
  </si>
  <si>
    <t>Tiramusi</t>
  </si>
  <si>
    <t>tipo=venta; área_producción=general; sku=VEN-TIRAMU-000881</t>
  </si>
  <si>
    <t>3d39e5ee-7eeb-4846-a208-170b96b6bc4c</t>
  </si>
  <si>
    <t>Toalla Absorbente de Cocina Tork</t>
  </si>
  <si>
    <t>98804a35-d3bc-4046-bd86-2950e823f009</t>
  </si>
  <si>
    <t>tipo=insumo; área_producción=general; uso_presentación=remission; fuente_presentación=manual; 2 presentación(es) adicional(es) en Supabase; sku=INS-TOALLA-000265</t>
  </si>
  <si>
    <t>e2be67a0-e7f0-4b16-bce5-cf6e6ddebcc1</t>
  </si>
  <si>
    <t>Toallas de Manos</t>
  </si>
  <si>
    <t>dfd47938-c191-42e2-b72e-2d35788d46dc</t>
  </si>
  <si>
    <t>Bulto de 24 un</t>
  </si>
  <si>
    <t>tipo=insumo; área_producción=general; uso_presentación=remission; fuente_presentación=manual; 1 presentación(es) adicional(es) en Supabase; sku=INS-TOALLA-000162</t>
  </si>
  <si>
    <t>a523d4f2-acb5-4677-be7d-57e70aa39cad</t>
  </si>
  <si>
    <t>Tocineta</t>
  </si>
  <si>
    <t>b86cbc0b-d116-4b5a-9c91-905b1456599f</t>
  </si>
  <si>
    <t>Pieza 1 kg</t>
  </si>
  <si>
    <t>tipo=insumo; área_producción=general; uso_presentación=purchase; fuente_presentación=supplier_primary; sku=INS-TOCINE-000671</t>
  </si>
  <si>
    <t>e30a6b42-d826-4901-ae46-82b31ff6834c</t>
  </si>
  <si>
    <t>Tocineta Fazenda</t>
  </si>
  <si>
    <t>f2f2e8ff-8e3b-40bb-b3df-0e0c32fded3c</t>
  </si>
  <si>
    <t>tipo=insumo; área_producción=general; uso_presentación=remission; fuente_presentación=manual; 3 presentación(es) adicional(es) en Supabase; sku=INS-TOCINE-000195</t>
  </si>
  <si>
    <t>739a202e-363d-4914-80eb-f7f405ae3481</t>
  </si>
  <si>
    <t>Tomate Cherry</t>
  </si>
  <si>
    <t>09ec22b6-e2e2-422d-b3cb-5c54a5fb06cd</t>
  </si>
  <si>
    <t>tipo=insumo; área_producción=general; uso_presentación=general; fuente_presentación=manual; 1 presentación(es) adicional(es) en Supabase; sku=INS-TOMATE-000411</t>
  </si>
  <si>
    <t>e8677dc3-2412-4ee6-a72f-3cac382d8f85</t>
  </si>
  <si>
    <t>Tomate Chonto</t>
  </si>
  <si>
    <t>024bef2a-2aa6-4780-9840-cc2379c85fef</t>
  </si>
  <si>
    <t>tipo=insumo; área_producción=general; uso_presentación=general; fuente_presentación=manual; 1 presentación(es) adicional(es) en Supabase; sku=INS-TOMATE-000405</t>
  </si>
  <si>
    <t>21e41f3d-85a7-4704-b9d9-370458cd5b37</t>
  </si>
  <si>
    <t>Tomate Manzano</t>
  </si>
  <si>
    <t>10f9aca0-8cf6-40c1-ac36-ff2861c5b474</t>
  </si>
  <si>
    <t>tipo=insumo; área_producción=general; uso_presentación=general; fuente_presentación=manual; 1 presentación(es) adicional(es) en Supabase; sku=INS-TOMATE-000412</t>
  </si>
  <si>
    <t>54d73843-0403-4029-b4b0-b279b5f1d798</t>
  </si>
  <si>
    <t>Tomate Rosso</t>
  </si>
  <si>
    <t>a64a3d32-71be-40c3-a2e0-85bca780b051</t>
  </si>
  <si>
    <t>Pote de 1,65 kg</t>
  </si>
  <si>
    <t>tipo=insumo; área_producción=general; uso_presentación=general; fuente_presentación=manual; 1 presentación(es) adicional(es) en Supabase; sku=INS-TOMATE-000600</t>
  </si>
  <si>
    <t>b06f4c26-b552-43c3-95ff-3aaed509a30f</t>
  </si>
  <si>
    <t>Tomates Secos</t>
  </si>
  <si>
    <t>ecd81ad2-928b-40a9-89f2-fed400664033</t>
  </si>
  <si>
    <t>Tarro 430 g</t>
  </si>
  <si>
    <t>tipo=insumo; área_producción=general; uso_presentación=remission; fuente_presentación=manual; 1 presentación(es) adicional(es) en Supabase; sku=INS-TOMATE-000180</t>
  </si>
  <si>
    <t>42d7d1a8-379f-4ce8-b17c-6c86f79a59c3</t>
  </si>
  <si>
    <t>Tomillo</t>
  </si>
  <si>
    <t>a8050711-0001-49b8-b17c-5b11173ceae6</t>
  </si>
  <si>
    <t>tipo=insumo; área_producción=general; uso_presentación=general; fuente_presentación=manual; 1 presentación(es) adicional(es) en Supabase; sku=INS-TOMILL-000491</t>
  </si>
  <si>
    <t>76c6a812-7d87-4b12-b98b-e8434e2831d0</t>
  </si>
  <si>
    <t>Torta  de Arándanos</t>
  </si>
  <si>
    <t>ad033998-b412-454b-a411-98cc67404202</t>
  </si>
  <si>
    <t>tipo=venta; área_producción=general; uso_presentación=remission; fuente_presentación=manual; sku=VEN-TORTAD-000459</t>
  </si>
  <si>
    <t>8af934fc-363b-4a8b-812e-ac4643291d65</t>
  </si>
  <si>
    <t>Torta cumpleaños</t>
  </si>
  <si>
    <t>tipo=venta; área_producción=general; sku=VEN-TORTAC-000941</t>
  </si>
  <si>
    <t>f0063be7-51ef-4bdc-ac8e-50cfbfbba91d</t>
  </si>
  <si>
    <t>Torta de almojabana</t>
  </si>
  <si>
    <t>tipo=venta; área_producción=general; sku=VEN-TORTAD-000940</t>
  </si>
  <si>
    <t>481d2083-fc7d-4be5-b1b8-cda597e8ec09</t>
  </si>
  <si>
    <t>Torta de Banano</t>
  </si>
  <si>
    <t>c0297cbd-0e3a-42cf-88b5-28744170156d</t>
  </si>
  <si>
    <t>tipo=venta; área_producción=general; uso_presentación=remission; fuente_presentación=manual; sku=VEN-TORTAD-000457</t>
  </si>
  <si>
    <t>112bcbab-7127-4ab4-8824-d57afaa581e0</t>
  </si>
  <si>
    <t>Torta de Chocolate</t>
  </si>
  <si>
    <t>caa4be53-4585-4e88-8f9f-511e560e847c</t>
  </si>
  <si>
    <t>tipo=venta; área_producción=general; uso_presentación=remission; fuente_presentación=manual; sku=VEN-TORTAD-000385</t>
  </si>
  <si>
    <t>5ed328e9-9304-47e6-8fb2-e61dee3b1c23</t>
  </si>
  <si>
    <t>Torta de Limón</t>
  </si>
  <si>
    <t>a74a5d88-e59e-402c-a28a-8f43d4a8b578</t>
  </si>
  <si>
    <t>tipo=venta; área_producción=general; uso_presentación=remission; fuente_presentación=manual; sku=VEN-TORTAD-000458</t>
  </si>
  <si>
    <t>086c2349-43cd-43b9-bf2f-6f6eea719b42</t>
  </si>
  <si>
    <t>Torta de Zanahoria</t>
  </si>
  <si>
    <t>8d09cc84-856b-4384-93f6-0de7c39d723b</t>
  </si>
  <si>
    <t>tipo=venta; área_producción=general; uso_presentación=remission; fuente_presentación=manual; sku=VEN-TORTAD-000386</t>
  </si>
  <si>
    <t>56917b61-7093-4652-8277-29d643791063</t>
  </si>
  <si>
    <t>Torta Ponqué de la Tía</t>
  </si>
  <si>
    <t>3c27fa48-0977-492c-a04d-ce7e48ef06bb</t>
  </si>
  <si>
    <t>tipo=venta; área_producción=general; uso_presentación=remission; fuente_presentación=manual; sku=VEN-TORTAP-000460</t>
  </si>
  <si>
    <t>6086d0fe-1319-4532-9ece-1cc2c468a31c</t>
  </si>
  <si>
    <t>Torta Red Velvet</t>
  </si>
  <si>
    <t>tipo=venta; área_producción=general; sku=VEN-TORTAR-000942</t>
  </si>
  <si>
    <t>bf762747-858e-403e-9c9b-ab44681f1dd8</t>
  </si>
  <si>
    <t>Tostadas 3 leches</t>
  </si>
  <si>
    <t>tipo=venta; área_producción=general; sku=VEN-TOSTAD-000617</t>
  </si>
  <si>
    <t>2d845158-e2cc-4326-abd6-93e175e899ce</t>
  </si>
  <si>
    <t>Touch</t>
  </si>
  <si>
    <t>tipo=insumo; área_producción=general; sku=EQP-TOUCH-000987</t>
  </si>
  <si>
    <t>d7e5718d-76b2-469c-afa0-969f467e9126</t>
  </si>
  <si>
    <t>Trapero con Palo</t>
  </si>
  <si>
    <t>1482cf3f-2fee-4d0a-a120-2df9bdb90d31</t>
  </si>
  <si>
    <t>tipo=insumo; área_producción=general; uso_presentación=remission; fuente_presentación=manual; 1 presentación(es) adicional(es) en Supabase; sku=INS-TRAPER-000266</t>
  </si>
  <si>
    <t>38697d2e-5714-4a76-8b59-062288d810de</t>
  </si>
  <si>
    <t>Trapos</t>
  </si>
  <si>
    <t>0a300221-d8f4-4087-be20-cec1ddee8103</t>
  </si>
  <si>
    <t>tipo=insumo; área_producción=general; uso_presentación=remission; fuente_presentación=manual; sku=INS-TRAPOS-000267</t>
  </si>
  <si>
    <t>c7e21fdf-0f38-429d-b9ce-eeab361051b0</t>
  </si>
  <si>
    <t>Trenzado de Coco</t>
  </si>
  <si>
    <t>tipo=venta; área_producción=general; sku=VEN-TRENZA-000529</t>
  </si>
  <si>
    <t>12744d44-31a9-4f23-b877-6b308b5871ae</t>
  </si>
  <si>
    <t>Trenzado de Nutella</t>
  </si>
  <si>
    <t>48620673-8cc1-4951-9ca3-779b8d9e768b</t>
  </si>
  <si>
    <t>tipo=venta; área_producción=general; uso_presentación=remission; fuente_presentación=manual; sku=VEN-TRENZA-000393</t>
  </si>
  <si>
    <t>82d73038-6f2e-4338-b9a8-848c96450903</t>
  </si>
  <si>
    <t>Trenzado de Quesos</t>
  </si>
  <si>
    <t>a967e83e-5b95-4b38-87f9-c4d37c11eeb6</t>
  </si>
  <si>
    <t>tipo=venta; área_producción=general; uso_presentación=remission; fuente_presentación=manual; sku=VEN-TRENZA-000394</t>
  </si>
  <si>
    <t>5e0729da-20dd-423c-b07b-4cd55ddd2838</t>
  </si>
  <si>
    <t>Trenzado de Quesos T</t>
  </si>
  <si>
    <t>tipo=venta; área_producción=general; sku=VEN-TRENZA-000526</t>
  </si>
  <si>
    <t>43470a4e-1aa5-4752-9e47-014ba878b110</t>
  </si>
  <si>
    <t>Trio saudo</t>
  </si>
  <si>
    <t>tipo=venta; área_producción=general; sku=VEN-TRIOSA-000870</t>
  </si>
  <si>
    <t>207126a1-bdda-420a-b407-764be708f216</t>
  </si>
  <si>
    <t>Trozos de Brownie</t>
  </si>
  <si>
    <t>1da96ae6-74e9-493a-834f-1cc546dd92b8</t>
  </si>
  <si>
    <t>tipo=preparacion; área_producción=general; uso_presentación=remission; fuente_presentación=manual; sku=PRE-TROZOS-000301</t>
  </si>
  <si>
    <t>e509e5dd-d52e-4eae-afd2-f9b01c50e712</t>
  </si>
  <si>
    <t>Tubos de angus</t>
  </si>
  <si>
    <t>3ec4ce10-6bf8-449f-a9b4-d46e22697b55</t>
  </si>
  <si>
    <t>tipo=insumo; área_producción=general; uso_presentación=general; fuente_presentación=manual; 1 presentación(es) adicional(es) en Supabase; sku=INS-TUBOSD-000636</t>
  </si>
  <si>
    <t>473f76b2-3002-412c-92b2-e244c9641358</t>
  </si>
  <si>
    <t>Uchuvas</t>
  </si>
  <si>
    <t>cf1e3fb9-87b0-48df-b626-0ee66de0f96d</t>
  </si>
  <si>
    <t>tipo=insumo; área_producción=general; uso_presentación=general; fuente_presentación=manual; 1 presentación(es) adicional(es) en Supabase; sku=INS-UCHUVA-000500</t>
  </si>
  <si>
    <t>96b79cd7-6848-49dc-bf3e-82f9d9f074cd</t>
  </si>
  <si>
    <t>Uvas Pasas</t>
  </si>
  <si>
    <t>caeec1f5-396e-46e8-97e7-f5670de00119</t>
  </si>
  <si>
    <t>tipo=insumo; área_producción=general; uso_presentación=general; fuente_presentación=manual; 1 presentación(es) adicional(es) en Supabase; sku=INS-UVASPA-000662</t>
  </si>
  <si>
    <t>0d40e3bb-ccc5-44fb-a447-b31387000fe7</t>
  </si>
  <si>
    <t>Vaina de Vainilla</t>
  </si>
  <si>
    <t>273620ad-c113-45c0-a0ff-096203cbd4b8</t>
  </si>
  <si>
    <t>Vaina</t>
  </si>
  <si>
    <t>tipo=insumo; área_producción=general; uso_presentación=general; fuente_presentación=manual; 1 presentación(es) adicional(es) en Supabase; sku=INS-VAINAD-000421</t>
  </si>
  <si>
    <t>6e4f1992-240a-4eb8-8e90-399bc85d46b6</t>
  </si>
  <si>
    <t>Varsol</t>
  </si>
  <si>
    <t>50f1ceb6-8402-43da-a70d-d0082d77877c</t>
  </si>
  <si>
    <t>tipo=insumo; área_producción=general; uso_presentación=remission; fuente_presentación=manual; 2 presentación(es) adicional(es) en Supabase; sku=INS-VARSOL-000519</t>
  </si>
  <si>
    <t>aaa126df-af05-4fe2-9e7c-ea2f1ca04ffa</t>
  </si>
  <si>
    <t>Vaso 12 oz Molka</t>
  </si>
  <si>
    <t>f4f71cb6-ce90-40a7-9643-898f2cb3d450</t>
  </si>
  <si>
    <t>tipo=insumo; área_producción=general; uso_presentación=remission; fuente_presentación=manual; 1 presentación(es) adicional(es) en Supabase; sku=INS-VASO12-000509</t>
  </si>
  <si>
    <t>5b9441d2-f964-424c-99d9-a13890cfe608</t>
  </si>
  <si>
    <t>VASO BEBIDA FRÍA GRANDE</t>
  </si>
  <si>
    <t>tipo=insumo; área_producción=general; sku=EQP-VASOBE-000781</t>
  </si>
  <si>
    <t>5f77cba5-7336-4d6a-9638-013df3e66976</t>
  </si>
  <si>
    <t>VASO BEBIDA FRÍA PEQUEÑO</t>
  </si>
  <si>
    <t>tipo=insumo; área_producción=general; sku=EQP-VASOBE-000782</t>
  </si>
  <si>
    <t>49c14368-911f-453c-abb4-b3084052e89b</t>
  </si>
  <si>
    <t>Vaso de Café 7oz</t>
  </si>
  <si>
    <t>5a88e555-3b9a-4f24-96a0-dfaa2c02fcd4</t>
  </si>
  <si>
    <t>tipo=insumo; área_producción=general; uso_presentación=remission; fuente_presentación=manual; 1 presentación(es) adicional(es) en Supabase; sku=INS-VASODE-000275</t>
  </si>
  <si>
    <t>f24fcf33-16db-49b0-9a19-afc31a453cbf</t>
  </si>
  <si>
    <t>Vaso de Café 9oz</t>
  </si>
  <si>
    <t>f059495e-e37a-4931-a1a0-bc1f6bcb533c</t>
  </si>
  <si>
    <t>tipo=insumo; área_producción=general; uso_presentación=remission; fuente_presentación=manual; 1 presentación(es) adicional(es) en Supabase; sku=INS-VASODE-000277</t>
  </si>
  <si>
    <t>7d5dfdeb-9bfa-4caf-9138-9b32f54ee043</t>
  </si>
  <si>
    <t>Vaso de Helado Cartón</t>
  </si>
  <si>
    <t>04b8cbe5-8654-460b-acad-b03645ed8740</t>
  </si>
  <si>
    <t>tipo=insumo; área_producción=general; uso_presentación=remission; fuente_presentación=manual; 1 presentación(es) adicional(es) en Supabase; sku=INS-VASODE-000280</t>
  </si>
  <si>
    <t>e3053956-fbe2-4cdb-af87-737b89c74f84</t>
  </si>
  <si>
    <t>Vaso de Lata Grande</t>
  </si>
  <si>
    <t>cee0fbbf-3caa-41e6-a476-b309d1c1c42c</t>
  </si>
  <si>
    <t>tipo=insumo; área_producción=general; uso_presentación=remission; fuente_presentación=manual; 1 presentación(es) adicional(es) en Supabase; sku=INS-VASODE-000273</t>
  </si>
  <si>
    <t>1a23b767-3561-4f75-8b30-c2dca2949fda</t>
  </si>
  <si>
    <t>Vaso de Lata Mediano</t>
  </si>
  <si>
    <t>d6fa611e-aa4c-456b-bf23-b810d31d6e75</t>
  </si>
  <si>
    <t>tipo=insumo; área_producción=general; uso_presentación=remission; fuente_presentación=manual; 1 presentación(es) adicional(es) en Supabase; sku=INS-VASODE-000272</t>
  </si>
  <si>
    <t>be7edafa-8141-4a5c-9293-50b50666f268</t>
  </si>
  <si>
    <t>Vaso de Lata Pequeño</t>
  </si>
  <si>
    <t>ad5728f1-c898-492c-9b10-e51b308ed6f9</t>
  </si>
  <si>
    <t>tipo=insumo; área_producción=general; uso_presentación=remission; fuente_presentación=manual; 1 presentación(es) adicional(es) en Supabase; sku=INS-VASODE-000271</t>
  </si>
  <si>
    <t>b3cda0cd-3df5-4bac-a12d-366c1decb0eb</t>
  </si>
  <si>
    <t>Vaso Helado Sundae</t>
  </si>
  <si>
    <t>2f484036-aebf-46df-9f0d-499a1790df13</t>
  </si>
  <si>
    <t>tipo=insumo; área_producción=general; uso_presentación=remission; fuente_presentación=manual; 1 presentación(es) adicional(es) en Supabase; sku=INS-VASOHE-000279</t>
  </si>
  <si>
    <t>9cf23eca-5366-4311-8b0b-1c67728507be</t>
  </si>
  <si>
    <t>VASO METAL SODAS</t>
  </si>
  <si>
    <t>tipo=insumo; área_producción=general; sku=EQP-VASOME-000776</t>
  </si>
  <si>
    <t>4a063d3b-1c61-423d-be40-86b0ab8a1d65</t>
  </si>
  <si>
    <t>Vaso Plástico 12 oz Molka</t>
  </si>
  <si>
    <t>44b76227-2ce4-41e1-80fb-781479914647</t>
  </si>
  <si>
    <t>tipo=insumo; área_producción=general; uso_presentación=remission; fuente_presentación=manual; 1 presentación(es) adicional(es) en Supabase; sku=INS-VASOPL-000510</t>
  </si>
  <si>
    <t>86cab387-69da-4e37-ac67-f6f2ba06bbe5</t>
  </si>
  <si>
    <t>Vaso Plástico 14-16 oz</t>
  </si>
  <si>
    <t>9076b7aa-f351-44f9-bdb5-564146616dbe</t>
  </si>
  <si>
    <t>tipo=insumo; área_producción=general; uso_presentación=remission; fuente_presentación=manual; 1 presentación(es) adicional(es) en Supabase; sku=INS-VASOPL-000281</t>
  </si>
  <si>
    <t>750df0db-f2fb-4956-bdb7-2ebba19d7428</t>
  </si>
  <si>
    <t>Vaso Plástico 16 oz Molka</t>
  </si>
  <si>
    <t>530a3e14-cf83-41c4-93e9-891e10a9ff72</t>
  </si>
  <si>
    <t>tipo=insumo; área_producción=general; uso_presentación=remission; fuente_presentación=manual; 1 presentación(es) adicional(es) en Supabase; sku=INS-VASOPL-000511</t>
  </si>
  <si>
    <t>541aa171-1c10-4fa6-99e7-fbb277fd6d16</t>
  </si>
  <si>
    <t>VASO VIDRIO CAFÉ 8ONZ</t>
  </si>
  <si>
    <t>tipo=insumo; área_producción=general; sku=EQP-VASOVI-000779</t>
  </si>
  <si>
    <t>b9becd41-e66e-4615-92f7-5b24a7fbb15d</t>
  </si>
  <si>
    <t>VASO VIDRIO GRANDE 12ONZ</t>
  </si>
  <si>
    <t>tipo=insumo; área_producción=general; sku=EQP-VASOVI-000778</t>
  </si>
  <si>
    <t>10bef515-b2dd-42d6-bff0-42570ea06581</t>
  </si>
  <si>
    <t>Ventilador slim</t>
  </si>
  <si>
    <t>tipo=insumo; área_producción=general; sku=EQP-VENTIL-000997</t>
  </si>
  <si>
    <t>4c629c79-ce71-40a1-8c60-45252ccecdfc</t>
  </si>
  <si>
    <t>Ventoñitos</t>
  </si>
  <si>
    <t>tipo=venta; área_producción=general; sku=VEN-VENTON-000731</t>
  </si>
  <si>
    <t>a420c821-edee-44b7-9276-37fb195f8252</t>
  </si>
  <si>
    <t>Vinagre Balsámico</t>
  </si>
  <si>
    <t>618dae2c-2a93-4c36-b293-3b12cc722e0c</t>
  </si>
  <si>
    <t>tipo=insumo; área_producción=general; uso_presentación=remission; fuente_presentación=supplier_primary; 2 presentación(es) adicional(es) en Supabase; sku=INS-VINAGR-000042</t>
  </si>
  <si>
    <t>729318c5-0bce-4e82-b4cc-4e402f1b1ac2</t>
  </si>
  <si>
    <t>Vinagre Blanco</t>
  </si>
  <si>
    <t>e8b04d43-c5e5-4209-bf55-2b51a167fa0b</t>
  </si>
  <si>
    <t>tipo=insumo; área_producción=general; uso_presentación=remission; fuente_presentación=manual; 3 presentación(es) adicional(es) en Supabase; sku=INS-VINAGR-000187</t>
  </si>
  <si>
    <t>16eca68b-4ca3-4f0f-8631-31b140b15f50</t>
  </si>
  <si>
    <t>Vinagre de Frutas</t>
  </si>
  <si>
    <t>b5cbe148-f40c-46d1-a0cf-c0640eb0ba17</t>
  </si>
  <si>
    <t>tipo=insumo; área_producción=general; uso_presentación=general; fuente_presentación=manual; 1 presentación(es) adicional(es) en Supabase; sku=INS-VINAGR-000427</t>
  </si>
  <si>
    <t>6473a91c-250f-4dd3-809b-5a34d5a209b3</t>
  </si>
  <si>
    <t>Vinagre de Jerez</t>
  </si>
  <si>
    <t>d46f04fb-7181-497b-8cbe-fb282bfe11e8</t>
  </si>
  <si>
    <t>tipo=insumo; área_producción=general; uso_presentación=general; fuente_presentación=manual; 1 presentación(es) adicional(es) en Supabase; sku=INS-VINAGR-000608</t>
  </si>
  <si>
    <t>c5d4f677-0274-4f9b-9533-050c1794e9d4</t>
  </si>
  <si>
    <t>Vinagreta de Mostaza</t>
  </si>
  <si>
    <t>tipo=preparacion; área_producción=general; sku=PRE-VINAGR-000247</t>
  </si>
  <si>
    <t>411a13fa-3d82-4f99-9c25-25e8ff1fe544</t>
  </si>
  <si>
    <t>Vinagreta de Parmesano</t>
  </si>
  <si>
    <t>9a30a7d3-d9f0-427b-9412-32a52f7c9478</t>
  </si>
  <si>
    <t>tipo=preparacion; área_producción=general; uso_presentación=remission; fuente_presentación=manual; sku=PRE-VINAGR-000094</t>
  </si>
  <si>
    <t>5ca5ba8f-215a-4788-a8c2-0f566ba22441</t>
  </si>
  <si>
    <t>Vinipel Amarillo x 300mt</t>
  </si>
  <si>
    <t>a021e615-b147-4a21-87e2-4bb9a088481e</t>
  </si>
  <si>
    <t>Rollo 1 un</t>
  </si>
  <si>
    <t>tipo=insumo; área_producción=general; uso_presentación=remission; fuente_presentación=manual; 1 presentación(es) adicional(es) en Supabase; sku=INS-VINIPE-000268</t>
  </si>
  <si>
    <t>eb81971f-1aab-4e14-b41d-8fd02df0c461</t>
  </si>
  <si>
    <t>Vino Blanco Lambrusco Botticello</t>
  </si>
  <si>
    <t>9d9b7750-df24-436f-939b-4458b700408b</t>
  </si>
  <si>
    <t>tipo=insumo; área_producción=general; uso_presentación=remission; fuente_presentación=manual; 1 presentación(es) adicional(es) en Supabase; sku=INS-VINOBL-000611</t>
  </si>
  <si>
    <t>db59f493-f735-42f4-86ea-685c9d27eea6</t>
  </si>
  <si>
    <t>Vino Blanco uvita</t>
  </si>
  <si>
    <t>abf39865-c3d1-4b69-8cc3-15a547e5db60</t>
  </si>
  <si>
    <t>Caja de 1 litro</t>
  </si>
  <si>
    <t>tipo=insumo; área_producción=general; uso_presentación=remission; fuente_presentación=manual; 2 presentación(es) adicional(es) en Supabase; sku=INS-VINOBL-000073</t>
  </si>
  <si>
    <t>0946cf84-70fa-4385-a6c0-97954751d9bc</t>
  </si>
  <si>
    <t>Vino Compuesto Sanson</t>
  </si>
  <si>
    <t>05dc6f90-93dd-46d6-9fdf-e3a7d7c66c1c</t>
  </si>
  <si>
    <t>tipo=insumo; área_producción=general; uso_presentación=general; fuente_presentación=manual; 1 presentación(es) adicional(es) en Supabase; sku=INS-VINOCO-000613</t>
  </si>
  <si>
    <t>3bd71743-430d-4d72-829e-585bf4de923c</t>
  </si>
  <si>
    <t>Vino Tinto Rosaleda</t>
  </si>
  <si>
    <t>9054cab8-ec76-4764-abc9-3db036988df2</t>
  </si>
  <si>
    <t>tipo=insumo; área_producción=general; uso_presentación=remission; fuente_presentación=manual; 2 presentación(es) adicional(es) en Supabase; sku=INS-VINOTI-000148</t>
  </si>
  <si>
    <t>df577b0e-a93a-411f-919a-d7227fd4059c</t>
  </si>
  <si>
    <t>Vitina</t>
  </si>
  <si>
    <t>521ae0da-577f-4789-ac3e-327c53f869f3</t>
  </si>
  <si>
    <t>tipo=insumo; área_producción=general; uso_presentación=general; fuente_presentación=manual; 1 presentación(es) adicional(es) en Supabase; sku=INS-VITINA-000652</t>
  </si>
  <si>
    <t>61808611-eced-41cf-b6cc-a8b8cb6c0b6d</t>
  </si>
  <si>
    <t>Vitrina de galletas</t>
  </si>
  <si>
    <t>tipo=insumo; área_producción=general; sku=EQP-VITRIN-000995</t>
  </si>
  <si>
    <t>ebf26263-57f5-47f0-a6c6-d158c3cb9cb4</t>
  </si>
  <si>
    <t>Vitrina refrigerada</t>
  </si>
  <si>
    <t>tipo=insumo; área_producción=general; sku=EQP-VITRIN-000996</t>
  </si>
  <si>
    <t>4f718536-a297-4495-b625-8a71cdf0f831</t>
  </si>
  <si>
    <t>Wafflera giratoria</t>
  </si>
  <si>
    <t>tipo=insumo; área_producción=general; sku=EQP-WAFFLE-000939</t>
  </si>
  <si>
    <t>d79d4a3d-2db2-4d67-95c2-259ea0245283</t>
  </si>
  <si>
    <t>Waflera</t>
  </si>
  <si>
    <t>tipo=insumo; área_producción=general; sku=EQP-WAFLER-000556</t>
  </si>
  <si>
    <t>20199019-b09c-4c35-be72-ca4030d36b12</t>
  </si>
  <si>
    <t>Yogogel</t>
  </si>
  <si>
    <t>7f1c9409-50f6-4f40-b345-ad0cde358efe</t>
  </si>
  <si>
    <t>tipo=insumo; área_producción=general; uso_presentación=remission; fuente_presentación=manual; 1 presentación(es) adicional(es) en Supabase; sku=INS-YOGOGE-000298</t>
  </si>
  <si>
    <t>ee13f87a-2718-4508-be6e-255cad3c10ef</t>
  </si>
  <si>
    <t>Yogur Light</t>
  </si>
  <si>
    <t>3d0de8e1-4c4c-4eda-a720-0dc30ffd4222</t>
  </si>
  <si>
    <t>Bolsa de 920 g</t>
  </si>
  <si>
    <t>tipo=insumo; área_producción=general; uso_presentación=general; fuente_presentación=manual; 1 presentación(es) adicional(es) en Supabase; sku=INS-YOGURL-000598</t>
  </si>
  <si>
    <t>ea45d1b3-4b3c-4c82-8cb6-dd12a5b4de73</t>
  </si>
  <si>
    <t>Yogurt Finesse</t>
  </si>
  <si>
    <t>7b8e838c-3159-4803-a2c0-d8ba4b8aff1a</t>
  </si>
  <si>
    <t>Botella de 1 kg</t>
  </si>
  <si>
    <t>tipo=insumo; área_producción=general; uso_presentación=remission; fuente_presentación=manual; 2 presentación(es) adicional(es) en Supabase; sku=INS-YOGURT-000028</t>
  </si>
  <si>
    <t>e365bf9f-5b7b-4b1e-af42-5fadfdb909cb</t>
  </si>
  <si>
    <t>Yogurt Griego</t>
  </si>
  <si>
    <t>ad0175ac-2ed9-4eaf-acd7-12388d126684</t>
  </si>
  <si>
    <t>tipo=insumo; área_producción=general; uso_presentación=remission; fuente_presentación=manual; 2 presentación(es) adicional(es) en Supabase; sku=INS-YOGURT-000029</t>
  </si>
  <si>
    <t>1108c10d-fbb4-43eb-9d01-68da556d45bf</t>
  </si>
  <si>
    <t>Yogurt Griego &amp; Granola Artesanal</t>
  </si>
  <si>
    <t>tipo=venta; área_producción=general; sku=VEN-YOGURT-000747</t>
  </si>
  <si>
    <t>131906ab-095b-4c49-b249-278f7a357bd7</t>
  </si>
  <si>
    <t>Zanahoria</t>
  </si>
  <si>
    <t>6408ab76-2545-4190-9dd7-f02d8256e480</t>
  </si>
  <si>
    <t>tipo=insumo; área_producción=general; uso_presentación=general; fuente_presentación=manual; 1 presentación(es) adicional(es) en Supabase; sku=INS-ZANAHO-000432</t>
  </si>
  <si>
    <t>0a47d4df-2107-47a3-9981-9f203d947b20</t>
  </si>
  <si>
    <t>Zumo de Limón</t>
  </si>
  <si>
    <t>tipo=preparacion; área_producción=general; sku=PRE-ZUMODE-000520</t>
  </si>
  <si>
    <t>4dd989e7-fdd9-454f-bbb8-6a0fabee0e32</t>
  </si>
  <si>
    <t>233ab79f-4c80-4eba-965f-a51bbe1be760</t>
  </si>
  <si>
    <t>tipo=insumo; área_producción=general; uso_presentación=remission; fuente_presentación=manual; 1 presentación(es) adicional(es) en Supabase; sku=INS-ZUMODE-000145</t>
  </si>
  <si>
    <t>145b6897-bbb2-4fd0-81c2-bd468158dd47</t>
  </si>
  <si>
    <t>Bodega</t>
  </si>
  <si>
    <t>BOD</t>
  </si>
  <si>
    <t>LOC-CP-BOD-MAIN · MAIN</t>
  </si>
  <si>
    <t>storage</t>
  </si>
  <si>
    <t>Bodega principal; código_sede=CENTRO_PROD; clase_sede=satellite; código_área=BODEGA</t>
  </si>
  <si>
    <t>a8e784f5-49c7-441a-9e38-252b5a3f0602</t>
  </si>
  <si>
    <t>CONG</t>
  </si>
  <si>
    <t>LOC-CP-CONG-MAIN · MAIN</t>
  </si>
  <si>
    <t>Cuarto de Congelación; código_sede=CENTRO_PROD; clase_sede=satellite; código_área=BODEGA</t>
  </si>
  <si>
    <t>8873b47f-1216-4860-9916-23a2f150b223</t>
  </si>
  <si>
    <t>FRIO</t>
  </si>
  <si>
    <t>LOC-CP-FRIO-MAIN · MAIN</t>
  </si>
  <si>
    <t>Cuarto frio; código_sede=CENTRO_PROD; clase_sede=satellite; código_área=BODEGA</t>
  </si>
  <si>
    <t>691e0755-52ab-4dc6-b2da-3751d8fb3dc6</t>
  </si>
  <si>
    <t>Cocina caliente</t>
  </si>
  <si>
    <t>N3P</t>
  </si>
  <si>
    <t>LOC-CP-N3P-MAIN · MAIN</t>
  </si>
  <si>
    <t>Nevera de preparaciones; código_sede=CENTRO_PROD; clase_sede=satellite; código_área=COC-CAL</t>
  </si>
  <si>
    <t>a0beec9e-c328-4296-9b4c-df7e60942f24</t>
  </si>
  <si>
    <t>COC</t>
  </si>
  <si>
    <t>LOC-CP-PROD-COC-01</t>
  </si>
  <si>
    <t>production</t>
  </si>
  <si>
    <t>Cocina caliente; código_sede=CENTRO_PROD; clase_sede=satellite; código_área=COC-CAL</t>
  </si>
  <si>
    <t>378c37d3-82f1-4299-820f-fca7bfb31a04</t>
  </si>
  <si>
    <t>Galleteria y Panaderia</t>
  </si>
  <si>
    <t>PAN</t>
  </si>
  <si>
    <t>LOC-CP-PROD-PAN-01</t>
  </si>
  <si>
    <t>Galleteria y panaderia; código_sede=CENTRO_PROD; clase_sede=satellite; código_área=PAN-GALL</t>
  </si>
  <si>
    <t>d6573995-aaa6-4b76-b968-1cf2f7b2d44a</t>
  </si>
  <si>
    <t>Reposteria</t>
  </si>
  <si>
    <t>REP</t>
  </si>
  <si>
    <t>LOC-CP-PROD-REP-01</t>
  </si>
  <si>
    <t>Reposteria; código_sede=CENTRO_PROD; clase_sede=satellite; código_área=REPOSTERIA</t>
  </si>
  <si>
    <t>91f1dccb-3069-4b0f-8dd5-2d5d57e1fbce</t>
  </si>
  <si>
    <t>Todos</t>
  </si>
  <si>
    <t>OPS</t>
  </si>
  <si>
    <t>LOC-MOL-OPS-MAIN</t>
  </si>
  <si>
    <t>picking</t>
  </si>
  <si>
    <t>Operacion principal; código_sede=MOLKA_PRINCIPAL; clase_sede=store; código_área=todos</t>
  </si>
  <si>
    <t>a25940e0-a775-4c23-a576-1a1fed4177ca</t>
  </si>
  <si>
    <t>Cocina / Barra</t>
  </si>
  <si>
    <t>LOC-SAU-OPS-MAIN</t>
  </si>
  <si>
    <t>Operacion principal; código_sede=SAUDO; clase_sede=store; código_área=COCINA_BARRA</t>
  </si>
  <si>
    <t>a8194451-911a-4dae-9392-0328678874a0</t>
  </si>
  <si>
    <t>Barra</t>
  </si>
  <si>
    <t>BAR</t>
  </si>
  <si>
    <t>LOC-VCF-BAR-MAIN</t>
  </si>
  <si>
    <t>Barra; código_sede=VENTO_CAFE; clase_sede=store; código_área=BARRA</t>
  </si>
  <si>
    <t>f757e86a-c91f-4867-b6fd-b1b83f2a27e6</t>
  </si>
  <si>
    <t>LOC-VCF-COC-MAIN</t>
  </si>
  <si>
    <t>Cocina; código_sede=VENTO_CAFE; clase_sede=store; código_área=COCINA</t>
  </si>
  <si>
    <t>fd3d3f3a-7dba-4232-9822-67ae829dd12d</t>
  </si>
  <si>
    <t>Mostrador</t>
  </si>
  <si>
    <t>MOS</t>
  </si>
  <si>
    <t>LOC-VCF-MOS-MAIN</t>
  </si>
  <si>
    <t>Mostrador; código_sede=VENTO_CAFE; clase_sede=store; código_área=MOSTRADOR</t>
  </si>
  <si>
    <t>Catálogo real de productos activos sincronizado desde Supabase. Se conserva una presentación operativa priorizada por producto para evitar duplicar el identificador canónico.</t>
  </si>
  <si>
    <t>Los campos de lote, vencimiento, frío, retornable y proveedor quedan vacíos cuando la base no contiene evidencia suficiente. Revísalos antes de operar.</t>
  </si>
  <si>
    <t>Sedes, áreas y ubicaciones físicas activas sincronizadas desde Supabase. Cada ubicacion_id conserva su UUID canónico.</t>
  </si>
  <si>
    <t>Valida físicamente el control de frío y completa responsables; no se infirieron esos datos desde nombres o códigos.</t>
  </si>
  <si>
    <t>App Review (Demo)</t>
  </si>
  <si>
    <t>Punto recogida camioneta principal</t>
  </si>
  <si>
    <t>Vento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</si>
</sst>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"/>
    <numFmt numFmtId="165" formatCode="#,000"/>
    <numFmt numFmtId="166" formatCode="#,#00%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"/>
      <family val="2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20"/>
      <color rgb="FFFFFFFF"/>
      <name val="Aptos"/>
      <family val="2"/>
    </font>
    <font>
      <sz val="11"/>
      <color rgb="FF25313C"/>
      <name val="Aptos"/>
      <family val="2"/>
    </font>
    <font>
      <i/>
      <sz val="10"/>
      <color rgb="FF25313C"/>
      <name val="Aptos"/>
      <family val="2"/>
    </font>
    <font>
      <sz val="10"/>
      <color rgb="FF152F4A"/>
      <name val="Aptos"/>
      <family val="2"/>
    </font>
    <font>
      <sz val="10"/>
      <color rgb="FF5B6A78"/>
      <name val="Aptos"/>
      <family val="2"/>
    </font>
    <font>
      <b/>
      <sz val="23"/>
      <color rgb="FF1F6AA6"/>
      <name val="Aptos"/>
      <family val="2"/>
    </font>
    <font>
      <b/>
      <sz val="23"/>
      <color rgb="FF148480"/>
      <name val="Aptos"/>
      <family val="2"/>
    </font>
    <font>
      <b/>
      <sz val="23"/>
      <color rgb="FFE67E22"/>
      <name val="Aptos"/>
      <family val="2"/>
    </font>
    <font>
      <b/>
      <sz val="23"/>
      <color rgb="FFC0392B"/>
      <name val="Aptos"/>
      <family val="2"/>
    </font>
    <font>
      <b/>
      <sz val="23"/>
      <color rgb="FF27845E"/>
      <name val="Aptos"/>
      <family val="2"/>
    </font>
    <font>
      <b/>
      <sz val="11"/>
      <color rgb="FFFFFFFF"/>
      <name val="Aptos"/>
      <family val="2"/>
    </font>
    <font>
      <b/>
      <sz val="27"/>
      <color rgb="FFFFFFFF"/>
      <name val="Aptos"/>
      <family val="2"/>
    </font>
    <font>
      <sz val="12"/>
      <color rgb="FF25313C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rgb="FF152F4A"/>
        <bgColor indexed="64"/>
      </patternFill>
    </fill>
    <fill>
      <patternFill patternType="solid">
        <fgColor rgb="FFE2EFFA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1F6AA6"/>
        <bgColor indexed="64"/>
      </patternFill>
    </fill>
    <fill>
      <patternFill patternType="solid">
        <fgColor rgb="FFFFFCEB"/>
        <bgColor indexed="64"/>
      </patternFill>
    </fill>
    <fill>
      <patternFill patternType="solid">
        <fgColor rgb="FFEBF6FF"/>
        <bgColor indexed="64"/>
      </patternFill>
    </fill>
    <fill>
      <patternFill patternType="solid">
        <fgColor rgb="FF14848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7E22"/>
        <bgColor indexed="64"/>
      </patternFill>
    </fill>
  </fills>
  <borders count="11">
    <border>
      <left/>
      <right/>
      <top/>
      <bottom/>
      <diagonal/>
    </border>
    <border>
      <left style="thin">
        <color rgb="FFD9E1E8"/>
      </left>
      <right/>
      <top style="thin">
        <color rgb="FFD9E1E8"/>
      </top>
      <bottom/>
      <diagonal/>
    </border>
    <border>
      <left style="thin">
        <color rgb="FFD9E1E8"/>
      </left>
      <right/>
      <top style="thin">
        <color rgb="FFD9E1E8"/>
      </top>
      <bottom style="thin">
        <color rgb="FFD9E1E8"/>
      </bottom>
      <diagonal/>
    </border>
    <border>
      <left style="thin">
        <color rgb="FFD9E1E8"/>
      </left>
      <right style="thin">
        <color rgb="FFD9E1E8"/>
      </right>
      <top style="thin">
        <color rgb="FFD9E1E8"/>
      </top>
      <bottom style="thin">
        <color rgb="FFD9E1E8"/>
      </bottom>
      <diagonal/>
    </border>
    <border>
      <left/>
      <right style="thin">
        <color rgb="FFD9E1E8"/>
      </right>
      <top/>
      <bottom style="thin">
        <color rgb="FFD9E1E8"/>
      </bottom>
      <diagonal/>
    </border>
    <border>
      <left style="thin">
        <color rgb="FFD9E1E8"/>
      </left>
      <right style="thin">
        <color rgb="FFD9E1E8"/>
      </right>
      <top/>
      <bottom style="thin">
        <color rgb="FFD9E1E8"/>
      </bottom>
      <diagonal/>
    </border>
    <border>
      <left style="thin">
        <color rgb="FFD9E1E8"/>
      </left>
      <right/>
      <top/>
      <bottom style="thin">
        <color rgb="FFD9E1E8"/>
      </bottom>
      <diagonal/>
    </border>
    <border>
      <left/>
      <right style="thin">
        <color rgb="FFD9E1E8"/>
      </right>
      <top style="thin">
        <color rgb="FFD9E1E8"/>
      </top>
      <bottom style="thin">
        <color rgb="FFD9E1E8"/>
      </bottom>
      <diagonal/>
    </border>
    <border>
      <left/>
      <right style="thin">
        <color rgb="FFD9E1E8"/>
      </right>
      <top style="thin">
        <color rgb="FFD9E1E8"/>
      </top>
      <bottom/>
      <diagonal/>
    </border>
    <border>
      <left style="thin">
        <color rgb="FFD9E1E8"/>
      </left>
      <right style="thin">
        <color rgb="FFD9E1E8"/>
      </right>
      <top style="thin">
        <color rgb="FFD9E1E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3" fillId="5" borderId="5" xfId="0" applyFont="1" applyFill="1" applyBorder="1" applyAlignment="1">
      <alignment horizontal="center" vertical="center" wrapText="1"/>
    </xf>
    <xf numFmtId="165" fontId="3" fillId="5" borderId="5" xfId="0" applyNumberFormat="1" applyFont="1" applyFill="1" applyBorder="1" applyAlignment="1">
      <alignment horizontal="center" vertical="center" wrapText="1"/>
    </xf>
    <xf numFmtId="164" fontId="3" fillId="5" borderId="5" xfId="0" applyNumberFormat="1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vertical="center" wrapText="1"/>
    </xf>
    <xf numFmtId="165" fontId="2" fillId="6" borderId="3" xfId="0" applyNumberFormat="1" applyFont="1" applyFill="1" applyBorder="1" applyAlignment="1">
      <alignment vertical="center" wrapText="1"/>
    </xf>
    <xf numFmtId="164" fontId="2" fillId="6" borderId="3" xfId="0" applyNumberFormat="1" applyFont="1" applyFill="1" applyBorder="1" applyAlignment="1">
      <alignment vertical="center" wrapText="1"/>
    </xf>
    <xf numFmtId="0" fontId="2" fillId="6" borderId="2" xfId="0" applyFont="1" applyFill="1" applyBorder="1" applyAlignment="1">
      <alignment vertical="center" wrapText="1"/>
    </xf>
    <xf numFmtId="0" fontId="2" fillId="6" borderId="9" xfId="0" applyFont="1" applyFill="1" applyBorder="1" applyAlignment="1">
      <alignment vertical="center" wrapText="1"/>
    </xf>
    <xf numFmtId="165" fontId="2" fillId="6" borderId="9" xfId="0" applyNumberFormat="1" applyFont="1" applyFill="1" applyBorder="1" applyAlignment="1">
      <alignment vertical="center" wrapText="1"/>
    </xf>
    <xf numFmtId="164" fontId="2" fillId="6" borderId="9" xfId="0" applyNumberFormat="1" applyFont="1" applyFill="1" applyBorder="1" applyAlignment="1">
      <alignment vertical="center" wrapText="1"/>
    </xf>
    <xf numFmtId="0" fontId="2" fillId="6" borderId="1" xfId="0" applyFont="1" applyFill="1" applyBorder="1" applyAlignment="1">
      <alignment vertical="center" wrapText="1"/>
    </xf>
    <xf numFmtId="0" fontId="2" fillId="0" borderId="0" xfId="0" applyFont="1" applyAlignment="1">
      <alignment horizontal="left" vertical="center"/>
    </xf>
    <xf numFmtId="0" fontId="3" fillId="5" borderId="4" xfId="0" applyFont="1" applyFill="1" applyBorder="1" applyAlignment="1">
      <alignment horizontal="left" vertical="center" wrapText="1"/>
    </xf>
    <xf numFmtId="0" fontId="2" fillId="6" borderId="7" xfId="0" applyFont="1" applyFill="1" applyBorder="1" applyAlignment="1">
      <alignment horizontal="left" vertical="center" wrapText="1"/>
    </xf>
    <xf numFmtId="0" fontId="2" fillId="6" borderId="8" xfId="0" applyFont="1" applyFill="1" applyBorder="1" applyAlignment="1">
      <alignment horizontal="left" vertical="center" wrapText="1"/>
    </xf>
    <xf numFmtId="166" fontId="3" fillId="5" borderId="5" xfId="0" applyNumberFormat="1" applyFont="1" applyFill="1" applyBorder="1" applyAlignment="1">
      <alignment horizontal="center" vertical="center" wrapText="1"/>
    </xf>
    <xf numFmtId="166" fontId="7" fillId="7" borderId="9" xfId="0" applyNumberFormat="1" applyFont="1" applyFill="1" applyBorder="1" applyAlignment="1">
      <alignment vertical="center" wrapText="1"/>
    </xf>
    <xf numFmtId="165" fontId="7" fillId="7" borderId="9" xfId="0" applyNumberFormat="1" applyFont="1" applyFill="1" applyBorder="1" applyAlignment="1">
      <alignment vertical="center" wrapText="1"/>
    </xf>
    <xf numFmtId="0" fontId="3" fillId="2" borderId="10" xfId="0" applyFont="1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15" fillId="2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wrapText="1"/>
    </xf>
    <xf numFmtId="0" fontId="14" fillId="8" borderId="3" xfId="0" applyFont="1" applyFill="1" applyBorder="1" applyAlignment="1">
      <alignment horizontal="center"/>
    </xf>
    <xf numFmtId="0" fontId="5" fillId="9" borderId="3" xfId="0" applyFont="1" applyFill="1" applyBorder="1"/>
    <xf numFmtId="0" fontId="5" fillId="10" borderId="3" xfId="0" applyFont="1" applyFill="1" applyBorder="1"/>
    <xf numFmtId="0" fontId="14" fillId="2" borderId="0" xfId="0" applyFont="1" applyFill="1" applyAlignment="1">
      <alignment horizontal="center"/>
    </xf>
    <xf numFmtId="0" fontId="14" fillId="11" borderId="3" xfId="0" applyFont="1" applyFill="1" applyBorder="1" applyAlignment="1">
      <alignment horizontal="center"/>
    </xf>
    <xf numFmtId="0" fontId="5" fillId="4" borderId="3" xfId="0" applyFont="1" applyFill="1" applyBorder="1"/>
    <xf numFmtId="0" fontId="4" fillId="2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 wrapText="1"/>
    </xf>
    <xf numFmtId="0" fontId="6" fillId="4" borderId="0" xfId="0" applyFont="1" applyFill="1" applyAlignment="1">
      <alignment vertical="center" wrapText="1"/>
    </xf>
    <xf numFmtId="0" fontId="3" fillId="8" borderId="0" xfId="0" applyFont="1" applyFill="1" applyAlignment="1">
      <alignment horizontal="center" vertical="center"/>
    </xf>
    <xf numFmtId="0" fontId="8" fillId="9" borderId="2" xfId="0" applyFont="1" applyFill="1" applyBorder="1" applyAlignment="1">
      <alignment horizontal="center" vertical="center" wrapText="1"/>
    </xf>
    <xf numFmtId="0" fontId="8" fillId="9" borderId="7" xfId="0" applyFont="1" applyFill="1" applyBorder="1" applyAlignment="1">
      <alignment horizontal="center" vertical="center" wrapText="1"/>
    </xf>
    <xf numFmtId="1" fontId="12" fillId="9" borderId="1" xfId="0" applyNumberFormat="1" applyFont="1" applyFill="1" applyBorder="1" applyAlignment="1">
      <alignment horizontal="center" vertical="center"/>
    </xf>
    <xf numFmtId="1" fontId="12" fillId="9" borderId="8" xfId="0" applyNumberFormat="1" applyFont="1" applyFill="1" applyBorder="1" applyAlignment="1">
      <alignment horizontal="center" vertical="center"/>
    </xf>
    <xf numFmtId="1" fontId="12" fillId="9" borderId="6" xfId="0" applyNumberFormat="1" applyFont="1" applyFill="1" applyBorder="1" applyAlignment="1">
      <alignment horizontal="center" vertical="center"/>
    </xf>
    <xf numFmtId="1" fontId="12" fillId="9" borderId="4" xfId="0" applyNumberFormat="1" applyFont="1" applyFill="1" applyBorder="1" applyAlignment="1">
      <alignment horizontal="center" vertical="center"/>
    </xf>
    <xf numFmtId="1" fontId="11" fillId="9" borderId="1" xfId="0" applyNumberFormat="1" applyFont="1" applyFill="1" applyBorder="1" applyAlignment="1">
      <alignment horizontal="center" vertical="center"/>
    </xf>
    <xf numFmtId="1" fontId="11" fillId="9" borderId="8" xfId="0" applyNumberFormat="1" applyFont="1" applyFill="1" applyBorder="1" applyAlignment="1">
      <alignment horizontal="center" vertical="center"/>
    </xf>
    <xf numFmtId="1" fontId="11" fillId="9" borderId="6" xfId="0" applyNumberFormat="1" applyFont="1" applyFill="1" applyBorder="1" applyAlignment="1">
      <alignment horizontal="center" vertical="center"/>
    </xf>
    <xf numFmtId="1" fontId="11" fillId="9" borderId="4" xfId="0" applyNumberFormat="1" applyFont="1" applyFill="1" applyBorder="1" applyAlignment="1">
      <alignment horizontal="center" vertical="center"/>
    </xf>
    <xf numFmtId="1" fontId="9" fillId="9" borderId="1" xfId="0" applyNumberFormat="1" applyFont="1" applyFill="1" applyBorder="1" applyAlignment="1">
      <alignment horizontal="center" vertical="center"/>
    </xf>
    <xf numFmtId="1" fontId="9" fillId="9" borderId="8" xfId="0" applyNumberFormat="1" applyFont="1" applyFill="1" applyBorder="1" applyAlignment="1">
      <alignment horizontal="center" vertical="center"/>
    </xf>
    <xf numFmtId="1" fontId="9" fillId="9" borderId="6" xfId="0" applyNumberFormat="1" applyFont="1" applyFill="1" applyBorder="1" applyAlignment="1">
      <alignment horizontal="center" vertical="center"/>
    </xf>
    <xf numFmtId="1" fontId="9" fillId="9" borderId="4" xfId="0" applyNumberFormat="1" applyFont="1" applyFill="1" applyBorder="1" applyAlignment="1">
      <alignment horizontal="center" vertical="center"/>
    </xf>
    <xf numFmtId="166" fontId="13" fillId="9" borderId="1" xfId="0" applyNumberFormat="1" applyFont="1" applyFill="1" applyBorder="1" applyAlignment="1">
      <alignment horizontal="center" vertical="center"/>
    </xf>
    <xf numFmtId="166" fontId="13" fillId="9" borderId="8" xfId="0" applyNumberFormat="1" applyFont="1" applyFill="1" applyBorder="1" applyAlignment="1">
      <alignment horizontal="center" vertical="center"/>
    </xf>
    <xf numFmtId="166" fontId="13" fillId="9" borderId="6" xfId="0" applyNumberFormat="1" applyFont="1" applyFill="1" applyBorder="1" applyAlignment="1">
      <alignment horizontal="center" vertical="center"/>
    </xf>
    <xf numFmtId="166" fontId="13" fillId="9" borderId="4" xfId="0" applyNumberFormat="1" applyFont="1" applyFill="1" applyBorder="1" applyAlignment="1">
      <alignment horizontal="center" vertical="center"/>
    </xf>
    <xf numFmtId="1" fontId="10" fillId="9" borderId="1" xfId="0" applyNumberFormat="1" applyFont="1" applyFill="1" applyBorder="1" applyAlignment="1">
      <alignment horizontal="center" vertical="center"/>
    </xf>
    <xf numFmtId="1" fontId="10" fillId="9" borderId="8" xfId="0" applyNumberFormat="1" applyFont="1" applyFill="1" applyBorder="1" applyAlignment="1">
      <alignment horizontal="center" vertical="center"/>
    </xf>
    <xf numFmtId="1" fontId="10" fillId="9" borderId="6" xfId="0" applyNumberFormat="1" applyFont="1" applyFill="1" applyBorder="1" applyAlignment="1">
      <alignment horizontal="center" vertical="center"/>
    </xf>
    <xf numFmtId="1" fontId="10" fillId="9" borderId="4" xfId="0" applyNumberFormat="1" applyFont="1" applyFill="1" applyBorder="1" applyAlignment="1">
      <alignment horizontal="center" vertical="center"/>
    </xf>
    <xf numFmtId="11" fontId="2" fillId="6" borderId="7" xfId="0" applyNumberFormat="1" applyFont="1" applyFill="1" applyBorder="1" applyAlignment="1">
      <alignment horizontal="left" vertical="center" wrapText="1"/>
    </xf>
    <xf numFmtId="11" fontId="2" fillId="6" borderId="3" xfId="0" applyNumberFormat="1" applyFont="1" applyFill="1" applyBorder="1" applyAlignment="1">
      <alignment vertical="center" wrapText="1"/>
    </xf>
  </cellXfs>
  <cellStyles count="1">
    <cellStyle name="Normal" xfId="0" builtinId="0"/>
  </cellStyles>
  <dxfs count="2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6" formatCode="#,#00%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6" formatCode="#,#00%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6" formatCode="#,#00%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Pendientes y alertas actuales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'12_PANEL'!$B$18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'12_PANEL'!$A$19:$A$23</c:f>
              <c:strCache>
                <c:ptCount val="5"/>
                <c:pt idx="0">
                  <c:v>Solicitudes abiertas</c:v>
                </c:pt>
                <c:pt idx="1">
                  <c:v>Remisiones en tránsito</c:v>
                </c:pt>
                <c:pt idx="2">
                  <c:v>Diferencias recepción</c:v>
                </c:pt>
                <c:pt idx="3">
                  <c:v>Diferencias conteo</c:v>
                </c:pt>
                <c:pt idx="4">
                  <c:v>Alertas calidad</c:v>
                </c:pt>
              </c:strCache>
            </c:strRef>
          </c:cat>
          <c:val>
            <c:numRef>
              <c:f>'12_PANEL'!$B$19:$B$23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06-43B2-8492-D533AB6FB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573536"/>
        <c:axId val="108860528"/>
      </c:barChart>
      <c:catAx>
        <c:axId val="2715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860528"/>
        <c:crosses val="autoZero"/>
        <c:auto val="1"/>
        <c:lblAlgn val="ctr"/>
        <c:lblOffset val="100"/>
        <c:noMultiLvlLbl val="0"/>
      </c:catAx>
      <c:valAx>
        <c:axId val="10886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715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16</xdr:row>
      <xdr:rowOff>152400</xdr:rowOff>
    </xdr:from>
    <xdr:to>
      <xdr:col>3</xdr:col>
      <xdr:colOff>609600</xdr:colOff>
      <xdr:row>18</xdr:row>
      <xdr:rowOff>88900</xdr:rowOff>
    </xdr:to>
    <xdr:sp macro="IrAHoja" textlink="">
      <xdr:nvSpPr>
        <xdr:cNvPr id="2" name="btn_CAT_LOGOS_14" descr="01_CATALOGOS">
          <a:extLst>
            <a:ext uri="{FF2B5EF4-FFF2-40B4-BE49-F238E27FC236}">
              <a16:creationId xmlns:a16="http://schemas.microsoft.com/office/drawing/2014/main" id="{8F691ACC-7B51-4535-6514-D9E8B13D5BD6}"/>
            </a:ext>
          </a:extLst>
        </xdr:cNvPr>
        <xdr:cNvSpPr/>
      </xdr:nvSpPr>
      <xdr:spPr>
        <a:xfrm>
          <a:off x="228600" y="4572000"/>
          <a:ext cx="26670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CATÁLOGOS</a:t>
          </a:r>
        </a:p>
      </xdr:txBody>
    </xdr:sp>
    <xdr:clientData/>
  </xdr:twoCellAnchor>
  <xdr:twoCellAnchor>
    <xdr:from>
      <xdr:col>4</xdr:col>
      <xdr:colOff>292100</xdr:colOff>
      <xdr:row>16</xdr:row>
      <xdr:rowOff>152400</xdr:rowOff>
    </xdr:from>
    <xdr:to>
      <xdr:col>7</xdr:col>
      <xdr:colOff>673100</xdr:colOff>
      <xdr:row>18</xdr:row>
      <xdr:rowOff>88900</xdr:rowOff>
    </xdr:to>
    <xdr:sp macro="IrAHoja" textlink="">
      <xdr:nvSpPr>
        <xdr:cNvPr id="3" name="btn_UBICACIONES_14" descr="02_UBICACIONES">
          <a:extLst>
            <a:ext uri="{FF2B5EF4-FFF2-40B4-BE49-F238E27FC236}">
              <a16:creationId xmlns:a16="http://schemas.microsoft.com/office/drawing/2014/main" id="{72104146-07F1-084C-394F-63A3485CAA39}"/>
            </a:ext>
          </a:extLst>
        </xdr:cNvPr>
        <xdr:cNvSpPr/>
      </xdr:nvSpPr>
      <xdr:spPr>
        <a:xfrm>
          <a:off x="3340100" y="4572000"/>
          <a:ext cx="26670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UBICACIONES</a:t>
          </a:r>
        </a:p>
      </xdr:txBody>
    </xdr:sp>
    <xdr:clientData/>
  </xdr:twoCellAnchor>
  <xdr:twoCellAnchor>
    <xdr:from>
      <xdr:col>8</xdr:col>
      <xdr:colOff>355600</xdr:colOff>
      <xdr:row>16</xdr:row>
      <xdr:rowOff>152400</xdr:rowOff>
    </xdr:from>
    <xdr:to>
      <xdr:col>11</xdr:col>
      <xdr:colOff>736600</xdr:colOff>
      <xdr:row>18</xdr:row>
      <xdr:rowOff>88900</xdr:rowOff>
    </xdr:to>
    <xdr:sp macro="IrAHoja" textlink="">
      <xdr:nvSpPr>
        <xdr:cNvPr id="4" name="btn_SOLICITUDES_14" descr="03_SOLICITUDES">
          <a:extLst>
            <a:ext uri="{FF2B5EF4-FFF2-40B4-BE49-F238E27FC236}">
              <a16:creationId xmlns:a16="http://schemas.microsoft.com/office/drawing/2014/main" id="{DCC7AC2E-9D93-F568-B936-44AC54369C60}"/>
            </a:ext>
          </a:extLst>
        </xdr:cNvPr>
        <xdr:cNvSpPr/>
      </xdr:nvSpPr>
      <xdr:spPr>
        <a:xfrm>
          <a:off x="6451600" y="4572000"/>
          <a:ext cx="26670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SOLICITUDES</a:t>
          </a:r>
        </a:p>
      </xdr:txBody>
    </xdr:sp>
    <xdr:clientData/>
  </xdr:twoCellAnchor>
  <xdr:twoCellAnchor>
    <xdr:from>
      <xdr:col>0</xdr:col>
      <xdr:colOff>228600</xdr:colOff>
      <xdr:row>20</xdr:row>
      <xdr:rowOff>0</xdr:rowOff>
    </xdr:from>
    <xdr:to>
      <xdr:col>3</xdr:col>
      <xdr:colOff>609600</xdr:colOff>
      <xdr:row>21</xdr:row>
      <xdr:rowOff>127000</xdr:rowOff>
    </xdr:to>
    <xdr:sp macro="IrAHoja" textlink="">
      <xdr:nvSpPr>
        <xdr:cNvPr id="5" name="btn_REMISIONES_14" descr="04_REMISIONES">
          <a:extLst>
            <a:ext uri="{FF2B5EF4-FFF2-40B4-BE49-F238E27FC236}">
              <a16:creationId xmlns:a16="http://schemas.microsoft.com/office/drawing/2014/main" id="{5C55208B-1FBE-3C61-364B-9CDE92773984}"/>
            </a:ext>
          </a:extLst>
        </xdr:cNvPr>
        <xdr:cNvSpPr/>
      </xdr:nvSpPr>
      <xdr:spPr>
        <a:xfrm>
          <a:off x="228600" y="5181600"/>
          <a:ext cx="26670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REMISIONES</a:t>
          </a:r>
        </a:p>
      </xdr:txBody>
    </xdr:sp>
    <xdr:clientData/>
  </xdr:twoCellAnchor>
  <xdr:twoCellAnchor>
    <xdr:from>
      <xdr:col>4</xdr:col>
      <xdr:colOff>292100</xdr:colOff>
      <xdr:row>20</xdr:row>
      <xdr:rowOff>0</xdr:rowOff>
    </xdr:from>
    <xdr:to>
      <xdr:col>7</xdr:col>
      <xdr:colOff>673100</xdr:colOff>
      <xdr:row>21</xdr:row>
      <xdr:rowOff>127000</xdr:rowOff>
    </xdr:to>
    <xdr:sp macro="IrAHoja" textlink="">
      <xdr:nvSpPr>
        <xdr:cNvPr id="6" name="btn_RECEPCIONES_14" descr="05_RECEPCIONES">
          <a:extLst>
            <a:ext uri="{FF2B5EF4-FFF2-40B4-BE49-F238E27FC236}">
              <a16:creationId xmlns:a16="http://schemas.microsoft.com/office/drawing/2014/main" id="{575442F3-2120-BC94-B884-BB19E668FCAE}"/>
            </a:ext>
          </a:extLst>
        </xdr:cNvPr>
        <xdr:cNvSpPr/>
      </xdr:nvSpPr>
      <xdr:spPr>
        <a:xfrm>
          <a:off x="3340100" y="5181600"/>
          <a:ext cx="26670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RECEPCIONES</a:t>
          </a:r>
        </a:p>
      </xdr:txBody>
    </xdr:sp>
    <xdr:clientData/>
  </xdr:twoCellAnchor>
  <xdr:twoCellAnchor>
    <xdr:from>
      <xdr:col>8</xdr:col>
      <xdr:colOff>355600</xdr:colOff>
      <xdr:row>20</xdr:row>
      <xdr:rowOff>0</xdr:rowOff>
    </xdr:from>
    <xdr:to>
      <xdr:col>11</xdr:col>
      <xdr:colOff>736600</xdr:colOff>
      <xdr:row>21</xdr:row>
      <xdr:rowOff>127000</xdr:rowOff>
    </xdr:to>
    <xdr:sp macro="IrAHoja" textlink="">
      <xdr:nvSpPr>
        <xdr:cNvPr id="7" name="btn_CONTEOS_14" descr="06_CONTEOS">
          <a:extLst>
            <a:ext uri="{FF2B5EF4-FFF2-40B4-BE49-F238E27FC236}">
              <a16:creationId xmlns:a16="http://schemas.microsoft.com/office/drawing/2014/main" id="{0C10061B-459C-564F-5CF6-32816BB48BE4}"/>
            </a:ext>
          </a:extLst>
        </xdr:cNvPr>
        <xdr:cNvSpPr/>
      </xdr:nvSpPr>
      <xdr:spPr>
        <a:xfrm>
          <a:off x="6451600" y="5181600"/>
          <a:ext cx="26670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CONTEOS</a:t>
          </a:r>
        </a:p>
      </xdr:txBody>
    </xdr:sp>
    <xdr:clientData/>
  </xdr:twoCellAnchor>
  <xdr:twoCellAnchor>
    <xdr:from>
      <xdr:col>0</xdr:col>
      <xdr:colOff>228600</xdr:colOff>
      <xdr:row>23</xdr:row>
      <xdr:rowOff>38100</xdr:rowOff>
    </xdr:from>
    <xdr:to>
      <xdr:col>3</xdr:col>
      <xdr:colOff>609600</xdr:colOff>
      <xdr:row>24</xdr:row>
      <xdr:rowOff>165100</xdr:rowOff>
    </xdr:to>
    <xdr:sp macro="IrAHoja" textlink="">
      <xdr:nvSpPr>
        <xdr:cNvPr id="8" name="btn_MOVIMIENTOS_14" descr="07_MOVIMIENTOS">
          <a:extLst>
            <a:ext uri="{FF2B5EF4-FFF2-40B4-BE49-F238E27FC236}">
              <a16:creationId xmlns:a16="http://schemas.microsoft.com/office/drawing/2014/main" id="{E6D30B96-C257-1478-51AD-EE03D8E9AD87}"/>
            </a:ext>
          </a:extLst>
        </xdr:cNvPr>
        <xdr:cNvSpPr/>
      </xdr:nvSpPr>
      <xdr:spPr>
        <a:xfrm>
          <a:off x="228600" y="5791200"/>
          <a:ext cx="26670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MOVIMIENTOS</a:t>
          </a:r>
        </a:p>
      </xdr:txBody>
    </xdr:sp>
    <xdr:clientData/>
  </xdr:twoCellAnchor>
  <xdr:twoCellAnchor>
    <xdr:from>
      <xdr:col>4</xdr:col>
      <xdr:colOff>292100</xdr:colOff>
      <xdr:row>23</xdr:row>
      <xdr:rowOff>38100</xdr:rowOff>
    </xdr:from>
    <xdr:to>
      <xdr:col>7</xdr:col>
      <xdr:colOff>673100</xdr:colOff>
      <xdr:row>24</xdr:row>
      <xdr:rowOff>165100</xdr:rowOff>
    </xdr:to>
    <xdr:sp macro="IrAHoja" textlink="">
      <xdr:nvSpPr>
        <xdr:cNvPr id="9" name="btn_PRODUCCI_N_14" descr="08_PRODUCCION">
          <a:extLst>
            <a:ext uri="{FF2B5EF4-FFF2-40B4-BE49-F238E27FC236}">
              <a16:creationId xmlns:a16="http://schemas.microsoft.com/office/drawing/2014/main" id="{5E07A9BC-6499-7018-46B2-77CC83EF2BCA}"/>
            </a:ext>
          </a:extLst>
        </xdr:cNvPr>
        <xdr:cNvSpPr/>
      </xdr:nvSpPr>
      <xdr:spPr>
        <a:xfrm>
          <a:off x="3340100" y="5791200"/>
          <a:ext cx="26670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PRODUCCIÓN</a:t>
          </a:r>
        </a:p>
      </xdr:txBody>
    </xdr:sp>
    <xdr:clientData/>
  </xdr:twoCellAnchor>
  <xdr:twoCellAnchor>
    <xdr:from>
      <xdr:col>8</xdr:col>
      <xdr:colOff>355600</xdr:colOff>
      <xdr:row>23</xdr:row>
      <xdr:rowOff>38100</xdr:rowOff>
    </xdr:from>
    <xdr:to>
      <xdr:col>11</xdr:col>
      <xdr:colOff>736600</xdr:colOff>
      <xdr:row>24</xdr:row>
      <xdr:rowOff>165100</xdr:rowOff>
    </xdr:to>
    <xdr:sp macro="IrAHoja" textlink="">
      <xdr:nvSpPr>
        <xdr:cNvPr id="10" name="btn_CALIDAD_Y_MERMAS_14" descr="09_CALIDAD_MERMAS">
          <a:extLst>
            <a:ext uri="{FF2B5EF4-FFF2-40B4-BE49-F238E27FC236}">
              <a16:creationId xmlns:a16="http://schemas.microsoft.com/office/drawing/2014/main" id="{50151323-3F67-1FE8-F4A5-6CB70C33CC5F}"/>
            </a:ext>
          </a:extLst>
        </xdr:cNvPr>
        <xdr:cNvSpPr/>
      </xdr:nvSpPr>
      <xdr:spPr>
        <a:xfrm>
          <a:off x="6451600" y="5791200"/>
          <a:ext cx="2667000" cy="3175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CALIDAD Y MERMAS</a:t>
          </a:r>
        </a:p>
      </xdr:txBody>
    </xdr:sp>
    <xdr:clientData/>
  </xdr:twoCellAnchor>
  <xdr:twoCellAnchor>
    <xdr:from>
      <xdr:col>0</xdr:col>
      <xdr:colOff>228600</xdr:colOff>
      <xdr:row>26</xdr:row>
      <xdr:rowOff>76200</xdr:rowOff>
    </xdr:from>
    <xdr:to>
      <xdr:col>3</xdr:col>
      <xdr:colOff>609600</xdr:colOff>
      <xdr:row>28</xdr:row>
      <xdr:rowOff>12700</xdr:rowOff>
    </xdr:to>
    <xdr:sp macro="IrAHoja" textlink="">
      <xdr:nvSpPr>
        <xdr:cNvPr id="11" name="btn_RETORNABLES_14" descr="10_RETORNABLES">
          <a:extLst>
            <a:ext uri="{FF2B5EF4-FFF2-40B4-BE49-F238E27FC236}">
              <a16:creationId xmlns:a16="http://schemas.microsoft.com/office/drawing/2014/main" id="{F8DBCEAC-7450-4944-5B39-A95BDCE23AAC}"/>
            </a:ext>
          </a:extLst>
        </xdr:cNvPr>
        <xdr:cNvSpPr/>
      </xdr:nvSpPr>
      <xdr:spPr>
        <a:xfrm>
          <a:off x="228600" y="6400800"/>
          <a:ext cx="2667000" cy="3175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RETORNABLES</a:t>
          </a:r>
        </a:p>
      </xdr:txBody>
    </xdr:sp>
    <xdr:clientData/>
  </xdr:twoCellAnchor>
  <xdr:twoCellAnchor>
    <xdr:from>
      <xdr:col>4</xdr:col>
      <xdr:colOff>292100</xdr:colOff>
      <xdr:row>26</xdr:row>
      <xdr:rowOff>76200</xdr:rowOff>
    </xdr:from>
    <xdr:to>
      <xdr:col>7</xdr:col>
      <xdr:colOff>673100</xdr:colOff>
      <xdr:row>28</xdr:row>
      <xdr:rowOff>12700</xdr:rowOff>
    </xdr:to>
    <xdr:sp macro="IrAHoja" textlink="">
      <xdr:nvSpPr>
        <xdr:cNvPr id="12" name="btn_ESTACIONES_14" descr="11_ESTACIONES">
          <a:extLst>
            <a:ext uri="{FF2B5EF4-FFF2-40B4-BE49-F238E27FC236}">
              <a16:creationId xmlns:a16="http://schemas.microsoft.com/office/drawing/2014/main" id="{54D8FE85-0C56-E50D-CF44-39E9DF7EC122}"/>
            </a:ext>
          </a:extLst>
        </xdr:cNvPr>
        <xdr:cNvSpPr/>
      </xdr:nvSpPr>
      <xdr:spPr>
        <a:xfrm>
          <a:off x="3340100" y="6400800"/>
          <a:ext cx="26670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ESTACIONES</a:t>
          </a:r>
        </a:p>
      </xdr:txBody>
    </xdr:sp>
    <xdr:clientData/>
  </xdr:twoCellAnchor>
  <xdr:twoCellAnchor>
    <xdr:from>
      <xdr:col>8</xdr:col>
      <xdr:colOff>355600</xdr:colOff>
      <xdr:row>26</xdr:row>
      <xdr:rowOff>76200</xdr:rowOff>
    </xdr:from>
    <xdr:to>
      <xdr:col>11</xdr:col>
      <xdr:colOff>736600</xdr:colOff>
      <xdr:row>28</xdr:row>
      <xdr:rowOff>12700</xdr:rowOff>
    </xdr:to>
    <xdr:sp macro="IrAHoja" textlink="">
      <xdr:nvSpPr>
        <xdr:cNvPr id="13" name="btn_PANEL_14" descr="12_PANEL">
          <a:extLst>
            <a:ext uri="{FF2B5EF4-FFF2-40B4-BE49-F238E27FC236}">
              <a16:creationId xmlns:a16="http://schemas.microsoft.com/office/drawing/2014/main" id="{78F358A2-4738-A4B5-C9F1-7FA9E305032A}"/>
            </a:ext>
          </a:extLst>
        </xdr:cNvPr>
        <xdr:cNvSpPr/>
      </xdr:nvSpPr>
      <xdr:spPr>
        <a:xfrm>
          <a:off x="6451600" y="6400800"/>
          <a:ext cx="2667000" cy="317500"/>
        </a:xfrm>
        <a:prstGeom prst="roundRect">
          <a:avLst/>
        </a:prstGeom>
        <a:solidFill>
          <a:srgbClr val="2784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PANEL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C9181BE0-54EB-8788-204F-8130679D1660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250C73A0-B299-854C-A8F9-234ED521B61E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F1FD7795-0659-8A47-77AD-B8C95594B79E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59689D42-492B-102A-F1A1-D27DB0F36B4B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59C8DD8B-18A4-0E21-CCA5-63E9A641336E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BC01AD98-02BE-CBFC-76E6-8C78D1FCD04B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14073AA2-181F-D98A-DFA4-37F7B7397686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0729F6A9-4529-BBEA-8BAB-96213D7EBDDD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F166C528-4AB3-5D8F-6DB3-F22DBDD133C7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38E596A3-5205-8191-BD7C-A56156E32AE9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F2973635-CAA8-5632-CB09-ECB42C476D3F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72262FA9-E1DC-AD65-3901-B7DB4D83DECE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54DC0534-DBA1-01FC-0473-3856593AA0A2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D3B53DE1-6C2C-05EC-54AE-A8BA8F2C8B86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1D6333D0-4110-44F7-5F62-15E582A8FE8F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CC16229D-53C6-3A94-B1A3-01072A9CFE2E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D14D1511-03F3-3593-DD00-548DB010B3C3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7DCF84E2-5886-5D1C-493F-03A62ED93FE0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59E86724-DBD2-011A-CFDF-CE2F57B0C866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CDA9DD07-9EDC-0993-A899-3466C207E7DF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78232CBD-88D8-B1D9-7658-C4005B58AD35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B39BCEBB-85F9-A536-4033-ECBF78DD1816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A6F436FC-6A66-9A16-5076-98F93BFB7157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B8208A6E-3DA7-BEC0-5D41-97CB33A73DAF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6840774D-D59F-98B8-9843-E742C5ADC0D3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E606B8A8-CEB7-7DA2-1245-234557CC6F9F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29B3732A-5A15-D6A3-5D85-94C8021B8352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0DDAC563-5346-500A-FD66-F9EE4EBAF23A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350E95B1-2C1B-BF86-B89D-053A4A3E4C31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C63D4165-736D-627B-B0B9-2A3F922D4E97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20D1AE19-0085-9B51-44A7-25FBD0DB136A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B3715BB6-EE5F-F63F-6366-2AD585EF4116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CDDFDFBC-6AAE-72E1-07E9-6C6D16A2EADC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0790585D-5C73-8CD6-0DA8-EBF8532294AD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3D2F3BDB-8879-88E8-CE1D-0F40731DC3AE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A823DAF0-BC12-1805-57DF-0A71E472EC0B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DE8AC8E6-BDC1-D369-B917-52CF5E14635A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B2891A56-0413-8BBB-6E10-3471FD693513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D6A33725-5E23-873B-0CFA-66B5F778EC8E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9DA600F0-C15B-20DD-1FE3-7ADD7921A160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2138E7F0-91CB-B2DF-0EFE-9E3B8F4085F2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27D516BB-8AB3-2146-93A2-358BA229F89E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9521240F-B395-B1EE-4007-31B43F9D5FE7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61ABB7B5-E7E2-9589-7C37-C8624B676124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699F5D9E-F42F-D064-6DCD-8CF7BB34EB1C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3" name="btn_ACTUALIZAR_2">
          <a:extLst>
            <a:ext uri="{FF2B5EF4-FFF2-40B4-BE49-F238E27FC236}">
              <a16:creationId xmlns:a16="http://schemas.microsoft.com/office/drawing/2014/main" id="{47B48AE1-A18E-9FC4-205E-45BF2D7F7A15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  <xdr:twoCellAnchor>
    <xdr:from>
      <xdr:col>4</xdr:col>
      <xdr:colOff>120650</xdr:colOff>
      <xdr:row>19</xdr:row>
      <xdr:rowOff>146050</xdr:rowOff>
    </xdr:from>
    <xdr:to>
      <xdr:col>11</xdr:col>
      <xdr:colOff>790575</xdr:colOff>
      <xdr:row>39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1C2D10-1DB2-D291-485D-C6674EA377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A00902-CBAD-4157-8E61-75F2BF980208}" name="tblCatalogos" displayName="tblCatalogos" ref="A7:S957" totalsRowShown="0" headerRowDxfId="246" dataDxfId="12" headerRowBorderDxfId="245" tableBorderDxfId="244" totalsRowBorderDxfId="243">
  <autoFilter ref="A7:S957" xr:uid="{4BA00902-CBAD-4157-8E61-75F2BF980208}"/>
  <tableColumns count="19">
    <tableColumn id="1" xr3:uid="{D96A3127-8D2E-4BE5-8071-5CC09BE76276}" name="producto_id" dataDxfId="31"/>
    <tableColumn id="2" xr3:uid="{A438221B-5F86-4AD2-92BD-648533BB37E1}" name="nombre_producto" dataDxfId="30"/>
    <tableColumn id="3" xr3:uid="{5C97ACF4-70D1-458C-95D4-BC738210BDEB}" name="categoria" dataDxfId="29"/>
    <tableColumn id="4" xr3:uid="{963F8093-467F-4970-AF22-F3F504629C9F}" name="presentacion_id" dataDxfId="28"/>
    <tableColumn id="5" xr3:uid="{4AA06702-F375-4E58-97F2-55FBE4B434ED}" name="presentacion" dataDxfId="27"/>
    <tableColumn id="6" xr3:uid="{A1EE4D20-83E3-4277-A4A9-3B1992910A88}" name="unidad_base" dataDxfId="26"/>
    <tableColumn id="7" xr3:uid="{4A4602A6-DB30-450D-B5A8-E9BB42507179}" name="unidad_operativa" dataDxfId="25"/>
    <tableColumn id="8" xr3:uid="{7CE9C11E-53B7-42D3-A969-4BCD3D9409F3}" name="factor_conversion" dataDxfId="24"/>
    <tableColumn id="9" xr3:uid="{0D73AE37-0D1C-4230-8DCA-98087B4E6101}" name="controla_lote" dataDxfId="23"/>
    <tableColumn id="10" xr3:uid="{829052E0-AA17-4589-86F3-ABBF61307070}" name="controla_vencimiento" dataDxfId="22"/>
    <tableColumn id="11" xr3:uid="{12A721A4-EE72-4021-A480-EDC0B0018F9F}" name="controla_frio" dataDxfId="21"/>
    <tableColumn id="12" xr3:uid="{3D4A234A-2294-4242-834F-ACD35EBFA5D4}" name="temperatura_min_c" dataDxfId="20"/>
    <tableColumn id="13" xr3:uid="{A3DF59E1-AEBD-4149-ABEE-F5A7ADB879E8}" name="temperatura_max_c" dataDxfId="19"/>
    <tableColumn id="14" xr3:uid="{15831377-E896-480D-B82E-7FE1151BD366}" name="es_retornable" dataDxfId="18"/>
    <tableColumn id="15" xr3:uid="{49BD6897-3174-4514-84AA-AE340B6FA18F}" name="proveedor_referencia" dataDxfId="17"/>
    <tableColumn id="16" xr3:uid="{937025DC-787C-497C-A0BA-A5D0991B3A36}" name="estado_registro" dataDxfId="16"/>
    <tableColumn id="17" xr3:uid="{B2D41040-9D5D-4761-9D24-2779C1BC34E5}" name="fecha_alta" dataDxfId="15"/>
    <tableColumn id="18" xr3:uid="{6C4A094A-2ED4-415D-83D0-AC9395F573A0}" name="responsable" dataDxfId="14"/>
    <tableColumn id="19" xr3:uid="{7763DB22-8745-47DB-872C-5DC8946084F3}" name="observacione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B138D0-C537-4FB2-B432-8E1E3F131548}" name="tblUbicaciones" displayName="tblUbicaciones" ref="A7:K19" totalsRowShown="0" headerRowDxfId="242" dataDxfId="0" headerRowBorderDxfId="241" tableBorderDxfId="240" totalsRowBorderDxfId="239">
  <autoFilter ref="A7:K19" xr:uid="{B7B138D0-C537-4FB2-B432-8E1E3F131548}"/>
  <tableColumns count="11">
    <tableColumn id="1" xr3:uid="{693FACD1-56B6-464F-9157-F189129E7C29}" name="ubicacion_id" dataDxfId="11"/>
    <tableColumn id="2" xr3:uid="{F1CF2896-2A5F-4B44-94C6-BCE3437E186F}" name="sede" dataDxfId="10"/>
    <tableColumn id="3" xr3:uid="{4D5A3214-FC03-4443-8D8F-DE8A5FC8FA9B}" name="area" dataDxfId="9"/>
    <tableColumn id="4" xr3:uid="{D9B988DD-F185-42C0-BA34-798B67E1657B}" name="zona" dataDxfId="8"/>
    <tableColumn id="5" xr3:uid="{059159BC-8A11-4F0D-BEDE-6A8B49C975A6}" name="punto" dataDxfId="7"/>
    <tableColumn id="6" xr3:uid="{EA307B16-B4B6-414B-A510-A1C30B71BB4E}" name="tipo_ubicacion" dataDxfId="6"/>
    <tableColumn id="7" xr3:uid="{36990719-060B-43AC-BDB0-931D1468CB71}" name="permite_inventario" dataDxfId="5"/>
    <tableColumn id="8" xr3:uid="{F03E96AD-3C81-42C8-BD1A-BE3FECD34440}" name="requiere_frio" dataDxfId="4"/>
    <tableColumn id="9" xr3:uid="{C66B1245-3658-4ECD-8E54-171365E90484}" name="estado_registro" dataDxfId="3"/>
    <tableColumn id="10" xr3:uid="{DC30B93B-909E-4754-A97C-40E9116216B9}" name="responsable" dataDxfId="2"/>
    <tableColumn id="11" xr3:uid="{BBC6AF0F-4EA4-48A0-B69A-916E85CC15BC}" name="observaciones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EF6E8B-AD45-4D60-A914-D220D4DF8700}" name="tblSolicitudes" displayName="tblSolicitudes" ref="A7:P8" totalsRowShown="0" headerRowDxfId="238" dataDxfId="236" headerRowBorderDxfId="237" tableBorderDxfId="235" totalsRowBorderDxfId="234">
  <autoFilter ref="A7:P8" xr:uid="{A4EF6E8B-AD45-4D60-A914-D220D4DF8700}"/>
  <tableColumns count="16">
    <tableColumn id="1" xr3:uid="{F301E61D-3FFD-4C75-871F-01F42122E2D1}" name="solicitud_id" dataDxfId="233"/>
    <tableColumn id="2" xr3:uid="{D701846E-1C30-41A7-909D-66021D4D0702}" name="fecha_solicitud" dataDxfId="232"/>
    <tableColumn id="3" xr3:uid="{94AA60B0-2EB0-4077-9DAD-3C6821EEDE20}" name="solicitante" dataDxfId="231"/>
    <tableColumn id="4" xr3:uid="{1696844C-7612-4C12-9257-51FD20551142}" name="ubicacion_origen" dataDxfId="230"/>
    <tableColumn id="5" xr3:uid="{F860ADA0-7399-4338-AD10-340AE64219EA}" name="ubicacion_destino" dataDxfId="229"/>
    <tableColumn id="6" xr3:uid="{3C8DADE5-7CBE-404F-8C16-06CA8288230F}" name="prioridad" dataDxfId="228"/>
    <tableColumn id="7" xr3:uid="{889C439D-3319-4D23-9F26-C5B2DCA46B07}" name="estado" dataDxfId="227"/>
    <tableColumn id="8" xr3:uid="{F094CB10-5013-40B2-A6DD-952A5B06A3C6}" name="producto_id" dataDxfId="226"/>
    <tableColumn id="9" xr3:uid="{BDC47EBB-793D-4ADD-A5B3-0BEE7E099F08}" name="presentacion" dataDxfId="225"/>
    <tableColumn id="10" xr3:uid="{D810EBBA-3984-43B7-97E3-08DA01BADA8E}" name="unidad" dataDxfId="224"/>
    <tableColumn id="11" xr3:uid="{C14CE2E3-5088-4E23-B17A-B8F42154D356}" name="cantidad_solicitada" dataDxfId="223"/>
    <tableColumn id="12" xr3:uid="{55CD627D-A926-4C54-835D-2EDD6DBDEBAA}" name="cantidad_aprobada" dataDxfId="222"/>
    <tableColumn id="13" xr3:uid="{A3F1CCB6-D556-40BB-804E-2160DCA896C1}" name="aprobacion_pct" dataDxfId="221">
      <calculatedColumnFormula>IF(OR(K8="",L8=""),"",IFERROR(L8/K8,0))</calculatedColumnFormula>
    </tableColumn>
    <tableColumn id="14" xr3:uid="{812F6A99-E65C-4DE6-8DCD-58D2E52868B3}" name="fecha_necesidad" dataDxfId="220"/>
    <tableColumn id="15" xr3:uid="{8F2F61C6-B9E8-4887-B504-4FCC916D7A7B}" name="responsable_aprobacion" dataDxfId="219"/>
    <tableColumn id="16" xr3:uid="{71A3D9A4-C8CE-4830-98EE-B8B73DF78712}" name="observaciones" dataDxfId="2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2D338F-E56E-4344-AEB1-D8074700B351}" name="tblRemisiones" displayName="tblRemisiones" ref="A7:W8" totalsRowShown="0" headerRowDxfId="217" dataDxfId="215" headerRowBorderDxfId="216" tableBorderDxfId="214" totalsRowBorderDxfId="213">
  <autoFilter ref="A7:W8" xr:uid="{102D338F-E56E-4344-AEB1-D8074700B351}"/>
  <tableColumns count="23">
    <tableColumn id="1" xr3:uid="{B3D5170D-A414-48B0-981E-A177E2F1F2B7}" name="remision_id" dataDxfId="212"/>
    <tableColumn id="2" xr3:uid="{A6D43BC8-FFD9-48A1-A13D-18F7DB4394F6}" name="solicitud_id" dataDxfId="211"/>
    <tableColumn id="3" xr3:uid="{9DE3DD5A-6AD0-44E5-AE2F-F07840B9EA54}" name="fecha_despacho" dataDxfId="210"/>
    <tableColumn id="4" xr3:uid="{4EDD4AD4-83F1-4522-97D9-B6B7A263A098}" name="ubicacion_origen" dataDxfId="209"/>
    <tableColumn id="5" xr3:uid="{6316AE36-93B5-457B-AB99-486F8A10AD34}" name="ubicacion_destino" dataDxfId="208"/>
    <tableColumn id="6" xr3:uid="{B65C9D51-5D32-42FB-B517-E3E3FEC9206D}" name="estado" dataDxfId="207"/>
    <tableColumn id="7" xr3:uid="{1E955D14-E2F2-43C6-AE27-4948284891E2}" name="producto_id" dataDxfId="206"/>
    <tableColumn id="8" xr3:uid="{2CD5AA9F-68E7-4D2C-A435-53BE726A2436}" name="presentacion" dataDxfId="205"/>
    <tableColumn id="9" xr3:uid="{E6EC46A7-EAA9-4102-81AD-163F9DBCE800}" name="lote" dataDxfId="204"/>
    <tableColumn id="10" xr3:uid="{EC2986F9-5D44-4C4E-830A-EBADA7B08D5C}" name="fecha_vencimiento" dataDxfId="203"/>
    <tableColumn id="11" xr3:uid="{DA85FA7F-D9F5-47F3-A7D0-4D8E23CC6635}" name="unidad" dataDxfId="202"/>
    <tableColumn id="12" xr3:uid="{30B09AFD-EECC-408D-AD5A-13CFDFCFFD9C}" name="cantidad_solicitada" dataDxfId="201"/>
    <tableColumn id="13" xr3:uid="{A573E31F-F190-4BA3-ACBC-256DB6B8F2DB}" name="cantidad_aprobada" dataDxfId="200"/>
    <tableColumn id="14" xr3:uid="{0CACC5BB-DBCB-4680-9093-A96E8B92E77A}" name="cantidad_preparada" dataDxfId="199"/>
    <tableColumn id="15" xr3:uid="{0B2022B5-6C5B-4A25-8685-36F8CA2E2DEB}" name="cantidad_cargada" dataDxfId="198"/>
    <tableColumn id="16" xr3:uid="{D0B0C3F8-3BA2-4328-AFF3-C721CB39BD64}" name="cantidad_despachada" dataDxfId="197"/>
    <tableColumn id="17" xr3:uid="{41738B2A-EDE6-44B2-A994-1C9DB42DC189}" name="cantidad_recibida" dataDxfId="196">
      <calculatedColumnFormula>IF(OR(A8="",G8=""),"",SUMIFS('05_RECEPCIONES'!$I$8:$I$200,'05_RECEPCIONES'!$B$8:$B$200,A8,'05_RECEPCIONES'!$F$8:$F$200,G8,'05_RECEPCIONES'!$G$8:$G$200,I8))</calculatedColumnFormula>
    </tableColumn>
    <tableColumn id="18" xr3:uid="{0CAEA379-D950-4BFC-A6B7-AF9E661CAEE5}" name="diferencia_recepcion" dataDxfId="195">
      <calculatedColumnFormula>IF(OR(P8="",Q8=""),"",Q8-P8)</calculatedColumnFormula>
    </tableColumn>
    <tableColumn id="19" xr3:uid="{B591529A-7EB1-419C-B312-56D79666B581}" name="cumplimiento_pct" dataDxfId="194">
      <calculatedColumnFormula>IF(OR(P8="",Q8=""),"",IFERROR(Q8/P8,0))</calculatedColumnFormula>
    </tableColumn>
    <tableColumn id="20" xr3:uid="{09524C9B-508B-4A41-97C6-79F0B92E4690}" name="custodio_salida" dataDxfId="193"/>
    <tableColumn id="21" xr3:uid="{0336B845-12E4-4310-A117-89F5AC868FC1}" name="custodio_recepcion" dataDxfId="192"/>
    <tableColumn id="22" xr3:uid="{2DD922D0-6722-4B71-8EDE-01A98FB8CC22}" name="evidencia" dataDxfId="191"/>
    <tableColumn id="23" xr3:uid="{85939819-F67F-48B9-862A-C5C40039495F}" name="observaciones" dataDxfId="19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32FEAD-1837-44AD-945C-4021681FD52C}" name="tblRecepciones" displayName="tblRecepciones" ref="A7:Q8" totalsRowShown="0" headerRowDxfId="189" dataDxfId="187" headerRowBorderDxfId="188" tableBorderDxfId="186" totalsRowBorderDxfId="185">
  <autoFilter ref="A7:Q8" xr:uid="{6C32FEAD-1837-44AD-945C-4021681FD52C}"/>
  <tableColumns count="17">
    <tableColumn id="1" xr3:uid="{266F3B79-FA12-4C0A-AF35-E1377FC141F4}" name="recepcion_id" dataDxfId="184"/>
    <tableColumn id="2" xr3:uid="{5E1690FB-8AD2-48E2-809A-06E9F8A55A78}" name="remision_id" dataDxfId="183"/>
    <tableColumn id="3" xr3:uid="{E197E14E-3636-4929-BE0C-1E572466D5E1}" name="fecha_recepcion" dataDxfId="182"/>
    <tableColumn id="4" xr3:uid="{C139A2BB-8DD3-4D91-A9CA-FD990BE39130}" name="ubicacion_destino" dataDxfId="181"/>
    <tableColumn id="5" xr3:uid="{DC89B912-7DAA-45AF-9328-1F80E787CC7C}" name="metodo_recepcion" dataDxfId="180"/>
    <tableColumn id="6" xr3:uid="{84068F53-9CC3-4B0A-8F96-9985AF4ABCBF}" name="producto_id" dataDxfId="179"/>
    <tableColumn id="7" xr3:uid="{9D3FF5AF-6895-442F-A106-2BE243698A8B}" name="lote" dataDxfId="178"/>
    <tableColumn id="8" xr3:uid="{3B24C692-70F4-4144-96F9-A4B2208C8197}" name="unidad" dataDxfId="177"/>
    <tableColumn id="9" xr3:uid="{7D7678C8-87A3-426C-81D9-D956257525D4}" name="cantidad_recibida" dataDxfId="176"/>
    <tableColumn id="10" xr3:uid="{50B6276E-6878-4C27-B4DB-E45A35062A76}" name="cantidad_conforme" dataDxfId="175"/>
    <tableColumn id="11" xr3:uid="{9C5FE983-F064-4105-BEDB-532EFB813B82}" name="cantidad_no_conforme" dataDxfId="174"/>
    <tableColumn id="12" xr3:uid="{E5CC5EA1-AF0A-4862-B1A9-367753E1E0E0}" name="temperatura_c" dataDxfId="173"/>
    <tableColumn id="13" xr3:uid="{1C73B41D-90C7-4224-B872-DD8F2667DDE0}" name="condicion" dataDxfId="172"/>
    <tableColumn id="14" xr3:uid="{970848B0-8799-4229-888D-7FCE64D49373}" name="decision" dataDxfId="171"/>
    <tableColumn id="15" xr3:uid="{393DF95B-5C34-4754-ADB7-6D60CF78BB46}" name="responsable" dataDxfId="170"/>
    <tableColumn id="16" xr3:uid="{538615F2-5DCB-40E1-AAF5-320C1D3DB351}" name="evidencia" dataDxfId="169"/>
    <tableColumn id="17" xr3:uid="{2BADB043-156C-45A4-AC7A-508E7C25C3F2}" name="observaciones" dataDxfId="16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D375BD0-E25B-46E7-8627-3CFD5F9A4621}" name="tblConteos" displayName="tblConteos" ref="A7:R8" totalsRowShown="0" headerRowDxfId="167" dataDxfId="165" headerRowBorderDxfId="166" tableBorderDxfId="164" totalsRowBorderDxfId="163">
  <autoFilter ref="A7:R8" xr:uid="{CD375BD0-E25B-46E7-8627-3CFD5F9A4621}"/>
  <tableColumns count="18">
    <tableColumn id="1" xr3:uid="{E559FC87-D334-4697-91A9-2A2928100187}" name="sesion_conteo_id" dataDxfId="162"/>
    <tableColumn id="2" xr3:uid="{DBB4EFDF-43DC-4AD5-B4A5-2B6E4FFBB967}" name="fecha_corte" dataDxfId="161"/>
    <tableColumn id="3" xr3:uid="{7572350B-F5C7-441C-9CAD-2AAE1B70FDFF}" name="sede" dataDxfId="160"/>
    <tableColumn id="4" xr3:uid="{F9BE7F70-B4CB-4BFD-8ABD-644F3AB6A35B}" name="ubicacion_id" dataDxfId="159"/>
    <tableColumn id="5" xr3:uid="{FE266179-F496-4B17-8D27-C95F40C036E9}" name="responsable" dataDxfId="158"/>
    <tableColumn id="6" xr3:uid="{126F60BA-05EF-4BFE-9761-3189B0D33C19}" name="metodo" dataDxfId="157"/>
    <tableColumn id="7" xr3:uid="{9792E585-0B28-4EB5-84F0-87C86CEBE1FA}" name="producto_id" dataDxfId="156"/>
    <tableColumn id="8" xr3:uid="{7029948F-261B-4EA3-891C-826F988681BE}" name="presentacion" dataDxfId="155"/>
    <tableColumn id="9" xr3:uid="{6A7D2AE3-B8A0-4EEB-9E9C-A69C89C98CB5}" name="lote" dataDxfId="154"/>
    <tableColumn id="10" xr3:uid="{485D4694-91DC-47D9-B391-8808D14B4EEE}" name="unidad" dataDxfId="153"/>
    <tableColumn id="11" xr3:uid="{036FF274-B67F-4614-B730-B5B84236D9D5}" name="cantidad_sistema_referencia" dataDxfId="152"/>
    <tableColumn id="12" xr3:uid="{D758848F-C6E1-43C9-AEF7-333FD833F95A}" name="cantidad_contada" dataDxfId="151"/>
    <tableColumn id="13" xr3:uid="{0AEF3DDA-06BA-4D86-B6D9-B307F90BC0C3}" name="diferencia" dataDxfId="150">
      <calculatedColumnFormula>IF(OR(K8="",L8=""),"",L8-K8)</calculatedColumnFormula>
    </tableColumn>
    <tableColumn id="14" xr3:uid="{FD2B23FB-053F-4B44-833A-952005F02D2E}" name="investigacion" dataDxfId="149"/>
    <tableColumn id="15" xr3:uid="{93E619E9-DDC5-4CD8-93F5-C197925F3C2A}" name="documento_ajuste_id" dataDxfId="148"/>
    <tableColumn id="16" xr3:uid="{5B24033A-A7C2-4E79-947A-C86E1CE6362D}" name="estado" dataDxfId="147"/>
    <tableColumn id="17" xr3:uid="{547FF8DA-FF55-474F-A409-42C49935F4A2}" name="evidencia" dataDxfId="146"/>
    <tableColumn id="18" xr3:uid="{A13B190F-50E2-4767-BF65-C56CDC7F494B}" name="observaciones" dataDxfId="14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D01C0FB-83BD-4419-AD4E-B7CD047FED22}" name="tblMovimientos" displayName="tblMovimientos" ref="A7:Q8" totalsRowShown="0" headerRowDxfId="144" dataDxfId="142" headerRowBorderDxfId="143" tableBorderDxfId="141" totalsRowBorderDxfId="140">
  <autoFilter ref="A7:Q8" xr:uid="{AD01C0FB-83BD-4419-AD4E-B7CD047FED22}"/>
  <tableColumns count="17">
    <tableColumn id="1" xr3:uid="{4AC95247-5E7A-409A-BACD-6BBDF589B033}" name="movimiento_id" dataDxfId="139"/>
    <tableColumn id="2" xr3:uid="{7528C555-B0E5-4AAA-9FE7-5B75FEAD7E56}" name="fecha_movimiento" dataDxfId="138"/>
    <tableColumn id="3" xr3:uid="{86153F14-398A-446B-B36F-4F4D5D7D2D39}" name="tipo_movimiento" dataDxfId="137"/>
    <tableColumn id="4" xr3:uid="{FDCF0E52-0888-4A22-A6AF-DB5B36115D1E}" name="ubicacion_origen" dataDxfId="136"/>
    <tableColumn id="5" xr3:uid="{CB3057CE-B362-4E51-BB64-16B8479E84D1}" name="ubicacion_destino" dataDxfId="135"/>
    <tableColumn id="6" xr3:uid="{8808B3AA-E405-46B9-BF68-72FE08FA68A1}" name="producto_id" dataDxfId="134"/>
    <tableColumn id="7" xr3:uid="{13956275-890D-401D-8E9A-6B2C849D161A}" name="presentacion" dataDxfId="133"/>
    <tableColumn id="8" xr3:uid="{9207B7B5-A7F1-4D17-B882-D957EF909F35}" name="lote" dataDxfId="132"/>
    <tableColumn id="9" xr3:uid="{9DB208D4-A581-4BC4-BE97-15A8FBC5D7D6}" name="unidad" dataDxfId="131"/>
    <tableColumn id="10" xr3:uid="{73759B65-351A-4F12-B130-6247DC3AF65A}" name="cantidad" dataDxfId="130"/>
    <tableColumn id="11" xr3:uid="{EBEF17AB-E4E3-4FDB-98DB-99C154115E82}" name="custodio_salida" dataDxfId="129"/>
    <tableColumn id="12" xr3:uid="{12FCEEB7-B869-47CC-B954-C3498492FE12}" name="custodio_entrada" dataDxfId="128"/>
    <tableColumn id="13" xr3:uid="{7EE0D64E-55F7-4642-8A7E-5B9E723B2A8E}" name="documento_relacionado_id" dataDxfId="127"/>
    <tableColumn id="14" xr3:uid="{95897DE8-0994-4AEC-BCB2-A09C9D892962}" name="responsable" dataDxfId="126"/>
    <tableColumn id="15" xr3:uid="{6C6D73EB-E30E-4A9A-B94B-1EDA51E45EEA}" name="evidencia" dataDxfId="125"/>
    <tableColumn id="16" xr3:uid="{15422400-3429-4AD2-B8CB-2AFC3C41D667}" name="estado" dataDxfId="124"/>
    <tableColumn id="17" xr3:uid="{A63FBFC6-07A5-4B22-85EA-F409E00EF583}" name="observaciones" dataDxfId="12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1AF131-04A3-46F1-BF44-FAE1725E00E7}" name="tblProduccion" displayName="tblProduccion" ref="A7:U8" totalsRowShown="0" headerRowDxfId="122" dataDxfId="120" headerRowBorderDxfId="121" tableBorderDxfId="119" totalsRowBorderDxfId="118">
  <autoFilter ref="A7:U8" xr:uid="{051AF131-04A3-46F1-BF44-FAE1725E00E7}"/>
  <tableColumns count="21">
    <tableColumn id="1" xr3:uid="{A0EE25C4-342D-4B62-A1EF-8D9E683236CE}" name="orden_produccion_id" dataDxfId="117"/>
    <tableColumn id="2" xr3:uid="{2835F421-89B4-45C7-B29E-B509F2ECB6C8}" name="fecha_produccion" dataDxfId="116"/>
    <tableColumn id="3" xr3:uid="{39A85E85-8BCF-4837-9AA9-0A79F2B9652E}" name="receta_id" dataDxfId="115"/>
    <tableColumn id="4" xr3:uid="{0C7A4D06-3896-4A31-B699-AB422D06A945}" name="version_receta" dataDxfId="114"/>
    <tableColumn id="5" xr3:uid="{C45FE7C1-C1A1-4A15-9E1B-14D2A12C93A5}" name="lote_salida" dataDxfId="113"/>
    <tableColumn id="6" xr3:uid="{72AD3141-750A-4210-9C74-3B36BF2A0C36}" name="estado_produccion" dataDxfId="112"/>
    <tableColumn id="7" xr3:uid="{C07ECF19-B859-4D9C-991E-FEDE1DCEB202}" name="estado_calidad" dataDxfId="111"/>
    <tableColumn id="8" xr3:uid="{C3D96AA3-90DC-4DA5-83E9-0028AC944153}" name="producto_insumo_id" dataDxfId="110"/>
    <tableColumn id="9" xr3:uid="{4F3D30FB-802E-4E83-9465-03DF33E50E00}" name="lote_insumo" dataDxfId="109"/>
    <tableColumn id="10" xr3:uid="{4B91B3CE-6386-4E88-95AA-B1EF1C825041}" name="unidad_insumo" dataDxfId="108"/>
    <tableColumn id="11" xr3:uid="{C1DDFC1F-8F1E-483E-9EA6-1AC0A16E24DB}" name="cantidad_insumo" dataDxfId="107"/>
    <tableColumn id="12" xr3:uid="{902DEB66-1331-4943-AA4F-BCB87EFCDC49}" name="producto_salida_id" dataDxfId="106"/>
    <tableColumn id="13" xr3:uid="{C063D029-DC9A-4C6A-9FB9-A30B073461C5}" name="unidad_salida" dataDxfId="105"/>
    <tableColumn id="14" xr3:uid="{2CAA4689-10D6-452B-ABE5-5C5213E2A77E}" name="salida_total" dataDxfId="104"/>
    <tableColumn id="15" xr3:uid="{0115B174-F1B5-423B-9804-8BCC712B479D}" name="salida_buena" dataDxfId="103"/>
    <tableColumn id="16" xr3:uid="{20833ECB-F619-4FFE-8B56-B2BC78567912}" name="reproceso" dataDxfId="102"/>
    <tableColumn id="17" xr3:uid="{33763002-4613-4860-8CD6-7634944A21F2}" name="merma" dataDxfId="101"/>
    <tableColumn id="18" xr3:uid="{C14E6064-ACA6-4282-AAB5-024463E9843F}" name="rendimiento_pct" dataDxfId="100">
      <calculatedColumnFormula>IF(OR(N8="",O8=""),"",IFERROR(O8/N8,0))</calculatedColumnFormula>
    </tableColumn>
    <tableColumn id="19" xr3:uid="{2D3AEE4E-47C1-4ABE-81E3-6B8FB84C0A45}" name="responsable" dataDxfId="99"/>
    <tableColumn id="20" xr3:uid="{0B440284-DBF5-45A9-97F0-D534AD7EDD7F}" name="evidencia" dataDxfId="98"/>
    <tableColumn id="21" xr3:uid="{AA853A0B-E0CB-431E-91F7-908A77CFFDE8}" name="observaciones" dataDxfId="9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3BBFE9E-23D9-4450-A2C8-B4908CC54074}" name="tblCalidadMermas" displayName="tblCalidadMermas" ref="A7:Q8" totalsRowShown="0" headerRowDxfId="96" dataDxfId="94" headerRowBorderDxfId="95" tableBorderDxfId="93" totalsRowBorderDxfId="92">
  <autoFilter ref="A7:Q8" xr:uid="{A3BBFE9E-23D9-4450-A2C8-B4908CC54074}"/>
  <tableColumns count="17">
    <tableColumn id="1" xr3:uid="{16534603-E0E7-4A74-AB79-9941D691B250}" name="evento_id" dataDxfId="91"/>
    <tableColumn id="2" xr3:uid="{0303E3CC-756D-45B2-B409-5871AD751215}" name="fecha_evento" dataDxfId="90"/>
    <tableColumn id="3" xr3:uid="{4F9A9267-BA21-4588-A80F-BF112CB6597F}" name="tipo_evento" dataDxfId="89"/>
    <tableColumn id="4" xr3:uid="{34BBDA60-0295-4812-A503-0E41A3519320}" name="ubicacion_id" dataDxfId="88"/>
    <tableColumn id="5" xr3:uid="{E8BC1AA1-D58D-4DE0-B5F2-0F1CB0C4994B}" name="producto_id" dataDxfId="87"/>
    <tableColumn id="6" xr3:uid="{A4B3FEF8-EA7B-4703-A68D-51CF32B7AD2A}" name="lote" dataDxfId="86"/>
    <tableColumn id="7" xr3:uid="{6A83F788-EF96-4685-91F7-1E861561F020}" name="fecha_vencimiento" dataDxfId="85"/>
    <tableColumn id="8" xr3:uid="{9A7565C0-BDB9-42E5-892A-D64E5EA83144}" name="condicion" dataDxfId="84"/>
    <tableColumn id="9" xr3:uid="{3F4FD41D-CB6B-4592-B8F3-717E623C7082}" name="temperatura_c" dataDxfId="83"/>
    <tableColumn id="10" xr3:uid="{A7A05D29-7281-4370-A75B-E90AC287E427}" name="cantidad_afectada" dataDxfId="82"/>
    <tableColumn id="11" xr3:uid="{6A3D8D7B-4FB1-4968-9B92-E543737CA36C}" name="unidad" dataDxfId="81"/>
    <tableColumn id="12" xr3:uid="{F2FEF027-EA9F-4208-A4AA-BB7C020883E2}" name="disposicion" dataDxfId="80"/>
    <tableColumn id="13" xr3:uid="{568C45D4-BA6C-4E7B-BAB0-24DAF83741AF}" name="documento_relacionado_id" dataDxfId="79"/>
    <tableColumn id="14" xr3:uid="{44426811-64A3-43EF-AA0C-F6249031BB8D}" name="responsable" dataDxfId="78"/>
    <tableColumn id="15" xr3:uid="{651C731D-4D15-4F04-A73A-2F24DA5B7948}" name="evidencia" dataDxfId="77"/>
    <tableColumn id="16" xr3:uid="{289F170A-FADF-462D-9FF5-7EF00F4FE149}" name="estado" dataDxfId="76"/>
    <tableColumn id="17" xr3:uid="{8D0C0935-1AA0-48A9-A879-778FFCFD580C}" name="observaciones" dataDxfId="7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A061911-ACBA-47EB-8AF7-67E820BB94E5}" name="tblRetornables" displayName="tblRetornables" ref="A7:N8" totalsRowShown="0" headerRowDxfId="74" dataDxfId="72" headerRowBorderDxfId="73" tableBorderDxfId="71" totalsRowBorderDxfId="70">
  <autoFilter ref="A7:N8" xr:uid="{5A061911-ACBA-47EB-8AF7-67E820BB94E5}"/>
  <tableColumns count="14">
    <tableColumn id="1" xr3:uid="{60B8B095-B223-4ACE-AEE3-7ADD0AFB9C75}" name="movimiento_retornable_id" dataDxfId="69"/>
    <tableColumn id="2" xr3:uid="{1C477278-135A-4CC5-A9DB-EA44FB75AB0D}" name="fecha_movimiento" dataDxfId="68"/>
    <tableColumn id="3" xr3:uid="{99C7B0C2-9DEF-4F1E-81AA-3195C9A552FA}" name="tipo_retornable" dataDxfId="67"/>
    <tableColumn id="4" xr3:uid="{5186E706-96DB-41BD-973D-7015AF975CF1}" name="unidad_identificada_lpn" dataDxfId="66"/>
    <tableColumn id="5" xr3:uid="{6DE2FF1F-9349-46CF-B9DC-D5EE9AFAF88B}" name="ubicacion_origen" dataDxfId="65"/>
    <tableColumn id="6" xr3:uid="{700FE5C9-8816-40C7-9E6B-CD96E702DE61}" name="ubicacion_destino" dataDxfId="64"/>
    <tableColumn id="7" xr3:uid="{9FDF7F49-BBE9-4FB8-B26D-85E982CB0CC4}" name="cantidad_salida" dataDxfId="63"/>
    <tableColumn id="8" xr3:uid="{A863A689-D07B-4D8A-97BA-8DE026C95A85}" name="cantidad_recibida" dataDxfId="62"/>
    <tableColumn id="9" xr3:uid="{AE97B6A0-8CAF-4B3A-B79E-D98C38BA0F5B}" name="diferencia" dataDxfId="61">
      <calculatedColumnFormula>IF(OR(G8="",H8=""),"",H8-G8)</calculatedColumnFormula>
    </tableColumn>
    <tableColumn id="10" xr3:uid="{E74359AD-C209-459E-BFCE-D80BC0917E37}" name="custodio_salida" dataDxfId="60"/>
    <tableColumn id="11" xr3:uid="{CBB1FF45-6DE9-489A-8412-15F407CF2F83}" name="custodio_recepcion" dataDxfId="59"/>
    <tableColumn id="12" xr3:uid="{A0A88BB7-52E7-47B9-8811-FB21A895FAEB}" name="estado" dataDxfId="58"/>
    <tableColumn id="13" xr3:uid="{4B952060-6C39-47F0-BC28-CEB60B623A89}" name="evidencia" dataDxfId="57"/>
    <tableColumn id="14" xr3:uid="{EBD534E8-D0DB-4627-85BD-317921D3A0DC}" name="observaciones" dataDxfId="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AE6B65-867D-4620-9034-E421CD3B4AA6}" name="tblEstaciones" displayName="tblEstaciones" ref="A7:S8" totalsRowShown="0" headerRowDxfId="55" dataDxfId="53" headerRowBorderDxfId="54" tableBorderDxfId="52" totalsRowBorderDxfId="51">
  <autoFilter ref="A7:S8" xr:uid="{60AE6B65-867D-4620-9034-E421CD3B4AA6}"/>
  <tableColumns count="19">
    <tableColumn id="1" xr3:uid="{1488774C-8C51-48DB-BCEA-321D3B021D6A}" name="estacion_id" dataDxfId="50"/>
    <tableColumn id="2" xr3:uid="{42B6262C-8E4C-4897-AC6F-1A94D17DBD93}" name="sede" dataDxfId="49"/>
    <tableColumn id="3" xr3:uid="{36DF0C68-AC4D-44E4-8662-62510996170F}" name="area" dataDxfId="48"/>
    <tableColumn id="4" xr3:uid="{C881CE45-533D-48D5-A2A6-67B2E069F367}" name="zona" dataDxfId="47"/>
    <tableColumn id="5" xr3:uid="{B63EA0CD-FFD6-4991-B744-E6E4367F939A}" name="punto" dataDxfId="46"/>
    <tableColumn id="6" xr3:uid="{2AD43CA4-CF14-43FE-89BE-31EDCB2D98C6}" name="perfil_estacion" dataDxfId="45"/>
    <tableColumn id="7" xr3:uid="{501C01D3-416A-446F-ABBF-6E2825A5CAFC}" name="proceso_principal" dataDxfId="44"/>
    <tableColumn id="8" xr3:uid="{CECAC8BB-3493-43BD-B2EC-A230C8226484}" name="actor_principal" dataDxfId="43"/>
    <tableColumn id="9" xr3:uid="{EE95469D-91B9-4E6B-A1E8-EE4460A102F6}" name="picos_operativos" dataDxfId="42"/>
    <tableColumn id="10" xr3:uid="{1EA036B1-41CE-4AC1-B352-49FC0B87192B}" name="movilidad" dataDxfId="41"/>
    <tableColumn id="11" xr3:uid="{AE011C49-28A3-4E5C-B4EF-31EC6675B745}" name="interaccion_ambiental" dataDxfId="40"/>
    <tableColumn id="12" xr3:uid="{43C5D125-66F6-41E1-8A39-D6D4DD7FF71D}" name="dispositivo" dataDxfId="39"/>
    <tableColumn id="13" xr3:uid="{0B485C4C-6DBD-44F0-B583-AB0DBE71E361}" name="tipo_sesion" dataDxfId="38"/>
    <tableColumn id="14" xr3:uid="{0C88CDA8-D672-4109-B386-58BD6F243D09}" name="perifericos" dataDxfId="37"/>
    <tableColumn id="15" xr3:uid="{D8F188E8-4C72-4D3C-A292-491DFE69CC2F}" name="infraestructura" dataDxfId="36"/>
    <tableColumn id="16" xr3:uid="{60D6DF66-A4A2-41F8-8007-F78B40E252DE}" name="contingencia" dataDxfId="35"/>
    <tableColumn id="17" xr3:uid="{B5A189C2-D5E6-451D-9562-383B9ED66F2C}" name="evidencia" dataDxfId="34"/>
    <tableColumn id="18" xr3:uid="{09D29D50-C46C-4F98-9385-C7527963954E}" name="estado_registro" dataDxfId="33"/>
    <tableColumn id="19" xr3:uid="{EC246386-8232-41DF-BAF1-BF9634E50D0E}" name="observaciones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AD18B-8649-4F5F-A93A-149236E422E2}">
  <sheetPr codeName="Hoja1"/>
  <dimension ref="A1:R10"/>
  <sheetViews>
    <sheetView workbookViewId="0"/>
  </sheetViews>
  <sheetFormatPr baseColWidth="10" defaultRowHeight="15" x14ac:dyDescent="0.25"/>
  <sheetData>
    <row r="1" spans="1:18" x14ac:dyDescent="0.25">
      <c r="A1" t="s">
        <v>0</v>
      </c>
      <c r="B1" t="s">
        <v>5</v>
      </c>
      <c r="C1" t="s">
        <v>12</v>
      </c>
      <c r="D1" t="s">
        <v>16</v>
      </c>
      <c r="E1" t="s">
        <v>22</v>
      </c>
      <c r="F1" t="s">
        <v>32</v>
      </c>
      <c r="G1" t="s">
        <v>38</v>
      </c>
      <c r="H1" t="s">
        <v>46</v>
      </c>
      <c r="I1" t="s">
        <v>50</v>
      </c>
      <c r="J1" t="s">
        <v>58</v>
      </c>
      <c r="K1" t="s">
        <v>64</v>
      </c>
      <c r="L1" t="s">
        <v>71</v>
      </c>
      <c r="M1" t="s">
        <v>77</v>
      </c>
      <c r="N1" t="s">
        <v>85</v>
      </c>
      <c r="O1" t="s">
        <v>90</v>
      </c>
      <c r="P1" t="s">
        <v>98</v>
      </c>
      <c r="Q1" t="s">
        <v>103</v>
      </c>
      <c r="R1" t="s">
        <v>106</v>
      </c>
    </row>
    <row r="2" spans="1:18" x14ac:dyDescent="0.25">
      <c r="A2" t="s">
        <v>3942</v>
      </c>
      <c r="B2" t="s">
        <v>6</v>
      </c>
      <c r="C2" t="s">
        <v>13</v>
      </c>
      <c r="D2" t="s">
        <v>6</v>
      </c>
      <c r="E2" t="s">
        <v>23</v>
      </c>
      <c r="F2" t="s">
        <v>33</v>
      </c>
      <c r="G2" t="s">
        <v>39</v>
      </c>
      <c r="H2" t="s">
        <v>6</v>
      </c>
      <c r="I2" t="s">
        <v>51</v>
      </c>
      <c r="J2" t="s">
        <v>59</v>
      </c>
      <c r="K2" t="s">
        <v>65</v>
      </c>
      <c r="L2" t="s">
        <v>72</v>
      </c>
      <c r="M2" t="s">
        <v>78</v>
      </c>
      <c r="N2" t="s">
        <v>86</v>
      </c>
      <c r="O2" t="s">
        <v>91</v>
      </c>
      <c r="P2" t="s">
        <v>48</v>
      </c>
      <c r="Q2" t="s">
        <v>104</v>
      </c>
      <c r="R2" t="s">
        <v>107</v>
      </c>
    </row>
    <row r="3" spans="1:18" x14ac:dyDescent="0.25">
      <c r="A3" t="s">
        <v>1</v>
      </c>
      <c r="B3" t="s">
        <v>7</v>
      </c>
      <c r="C3" t="s">
        <v>14</v>
      </c>
      <c r="D3" t="s">
        <v>17</v>
      </c>
      <c r="E3" t="s">
        <v>24</v>
      </c>
      <c r="F3" t="s">
        <v>34</v>
      </c>
      <c r="G3" t="s">
        <v>40</v>
      </c>
      <c r="H3" t="s">
        <v>47</v>
      </c>
      <c r="I3" t="s">
        <v>52</v>
      </c>
      <c r="J3" t="s">
        <v>60</v>
      </c>
      <c r="K3" t="s">
        <v>66</v>
      </c>
      <c r="L3" t="s">
        <v>73</v>
      </c>
      <c r="M3" t="s">
        <v>79</v>
      </c>
      <c r="N3" t="s">
        <v>49</v>
      </c>
      <c r="O3" t="s">
        <v>92</v>
      </c>
      <c r="P3" t="s">
        <v>99</v>
      </c>
      <c r="Q3" t="s">
        <v>105</v>
      </c>
      <c r="R3" t="s">
        <v>108</v>
      </c>
    </row>
    <row r="4" spans="1:18" x14ac:dyDescent="0.25">
      <c r="A4" t="s">
        <v>4</v>
      </c>
      <c r="B4" t="s">
        <v>8</v>
      </c>
      <c r="C4" t="s">
        <v>15</v>
      </c>
      <c r="D4" t="s">
        <v>18</v>
      </c>
      <c r="E4" t="s">
        <v>25</v>
      </c>
      <c r="F4" t="s">
        <v>35</v>
      </c>
      <c r="G4" t="s">
        <v>41</v>
      </c>
      <c r="H4" t="s">
        <v>48</v>
      </c>
      <c r="I4" t="s">
        <v>53</v>
      </c>
      <c r="J4" t="s">
        <v>55</v>
      </c>
      <c r="K4" t="s">
        <v>67</v>
      </c>
      <c r="L4" t="s">
        <v>61</v>
      </c>
      <c r="M4" t="s">
        <v>80</v>
      </c>
      <c r="N4" t="s">
        <v>87</v>
      </c>
      <c r="O4" t="s">
        <v>93</v>
      </c>
      <c r="P4" t="s">
        <v>100</v>
      </c>
      <c r="R4" t="s">
        <v>109</v>
      </c>
    </row>
    <row r="5" spans="1:18" x14ac:dyDescent="0.25">
      <c r="A5" t="s">
        <v>3943</v>
      </c>
      <c r="B5" t="s">
        <v>9</v>
      </c>
      <c r="D5" t="s">
        <v>19</v>
      </c>
      <c r="E5" t="s">
        <v>26</v>
      </c>
      <c r="F5" t="s">
        <v>36</v>
      </c>
      <c r="G5" t="s">
        <v>42</v>
      </c>
      <c r="H5" t="s">
        <v>10</v>
      </c>
      <c r="I5" t="s">
        <v>54</v>
      </c>
      <c r="J5" t="s">
        <v>61</v>
      </c>
      <c r="K5" t="s">
        <v>55</v>
      </c>
      <c r="L5" t="s">
        <v>74</v>
      </c>
      <c r="M5" t="s">
        <v>81</v>
      </c>
      <c r="N5" t="s">
        <v>88</v>
      </c>
      <c r="O5" t="s">
        <v>94</v>
      </c>
      <c r="P5" t="s">
        <v>101</v>
      </c>
      <c r="R5" t="s">
        <v>110</v>
      </c>
    </row>
    <row r="6" spans="1:18" x14ac:dyDescent="0.25">
      <c r="A6" t="s">
        <v>3</v>
      </c>
      <c r="B6" t="s">
        <v>10</v>
      </c>
      <c r="D6" t="s">
        <v>20</v>
      </c>
      <c r="E6" t="s">
        <v>27</v>
      </c>
      <c r="F6" t="s">
        <v>37</v>
      </c>
      <c r="G6" t="s">
        <v>43</v>
      </c>
      <c r="H6" t="s">
        <v>11</v>
      </c>
      <c r="I6" t="s">
        <v>55</v>
      </c>
      <c r="J6" t="s">
        <v>62</v>
      </c>
      <c r="K6" t="s">
        <v>68</v>
      </c>
      <c r="L6" t="s">
        <v>62</v>
      </c>
      <c r="M6" t="s">
        <v>82</v>
      </c>
      <c r="N6" t="s">
        <v>89</v>
      </c>
      <c r="O6" t="s">
        <v>95</v>
      </c>
      <c r="P6" t="s">
        <v>102</v>
      </c>
      <c r="R6" t="s">
        <v>111</v>
      </c>
    </row>
    <row r="7" spans="1:18" x14ac:dyDescent="0.25">
      <c r="A7" t="s">
        <v>2</v>
      </c>
      <c r="B7" t="s">
        <v>11</v>
      </c>
      <c r="D7" t="s">
        <v>21</v>
      </c>
      <c r="E7" t="s">
        <v>28</v>
      </c>
      <c r="G7" t="s">
        <v>44</v>
      </c>
      <c r="H7" t="s">
        <v>49</v>
      </c>
      <c r="I7" t="s">
        <v>56</v>
      </c>
      <c r="J7" t="s">
        <v>63</v>
      </c>
      <c r="K7" t="s">
        <v>69</v>
      </c>
      <c r="L7" t="s">
        <v>75</v>
      </c>
      <c r="M7" t="s">
        <v>83</v>
      </c>
      <c r="O7" t="s">
        <v>96</v>
      </c>
    </row>
    <row r="8" spans="1:18" x14ac:dyDescent="0.25">
      <c r="A8" t="s">
        <v>3944</v>
      </c>
      <c r="D8" t="s">
        <v>10</v>
      </c>
      <c r="E8" t="s">
        <v>29</v>
      </c>
      <c r="G8" t="s">
        <v>45</v>
      </c>
      <c r="I8" t="s">
        <v>57</v>
      </c>
      <c r="K8" t="s">
        <v>70</v>
      </c>
      <c r="L8" t="s">
        <v>76</v>
      </c>
      <c r="M8" t="s">
        <v>84</v>
      </c>
      <c r="O8" t="s">
        <v>97</v>
      </c>
    </row>
    <row r="9" spans="1:18" x14ac:dyDescent="0.25">
      <c r="D9" t="s">
        <v>11</v>
      </c>
      <c r="E9" t="s">
        <v>30</v>
      </c>
    </row>
    <row r="10" spans="1:18" x14ac:dyDescent="0.25">
      <c r="E10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9CACE-0E19-4F24-946C-9CF118793724}">
  <sheetPr codeName="Hoja14">
    <tabColor rgb="FF152F4A"/>
    <pageSetUpPr fitToPage="1"/>
  </sheetPr>
  <dimension ref="A1:L17"/>
  <sheetViews>
    <sheetView showGridLines="0" tabSelected="1" workbookViewId="0">
      <selection sqref="A1:L3"/>
    </sheetView>
  </sheetViews>
  <sheetFormatPr baseColWidth="10" defaultRowHeight="15" x14ac:dyDescent="0.25"/>
  <cols>
    <col min="1" max="12" width="12.7109375" style="1" customWidth="1"/>
    <col min="13" max="16384" width="11.42578125" style="1"/>
  </cols>
  <sheetData>
    <row r="1" spans="1:12" ht="30" customHeight="1" x14ac:dyDescent="0.25">
      <c r="A1" s="24" t="s">
        <v>269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</row>
    <row r="2" spans="1:12" ht="30" customHeight="1" x14ac:dyDescent="0.25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</row>
    <row r="3" spans="1:12" ht="30" customHeight="1" x14ac:dyDescent="0.25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</row>
    <row r="5" spans="1:12" x14ac:dyDescent="0.25">
      <c r="A5" s="25" t="s">
        <v>270</v>
      </c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</row>
    <row r="6" spans="1:12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</row>
    <row r="8" spans="1:12" x14ac:dyDescent="0.25">
      <c r="A8" s="26" t="s">
        <v>271</v>
      </c>
      <c r="B8" s="26"/>
      <c r="C8" s="26"/>
      <c r="D8" s="26"/>
      <c r="E8" s="26"/>
      <c r="F8" s="26"/>
      <c r="H8" s="30" t="s">
        <v>278</v>
      </c>
      <c r="I8" s="30"/>
      <c r="J8" s="30"/>
      <c r="K8" s="30"/>
      <c r="L8" s="30"/>
    </row>
    <row r="9" spans="1:12" ht="26.1" customHeight="1" x14ac:dyDescent="0.25">
      <c r="A9" s="27" t="s">
        <v>272</v>
      </c>
      <c r="B9" s="27"/>
      <c r="C9" s="27"/>
      <c r="D9" s="27"/>
      <c r="E9" s="27"/>
      <c r="F9" s="27"/>
      <c r="H9" s="31" t="s">
        <v>279</v>
      </c>
      <c r="I9" s="31"/>
      <c r="J9" s="31"/>
      <c r="K9" s="31"/>
      <c r="L9" s="31"/>
    </row>
    <row r="10" spans="1:12" ht="26.1" customHeight="1" x14ac:dyDescent="0.25">
      <c r="A10" s="28" t="s">
        <v>273</v>
      </c>
      <c r="B10" s="28"/>
      <c r="C10" s="28"/>
      <c r="D10" s="28"/>
      <c r="E10" s="28"/>
      <c r="F10" s="28"/>
      <c r="H10" s="28" t="s">
        <v>280</v>
      </c>
      <c r="I10" s="28"/>
      <c r="J10" s="28"/>
      <c r="K10" s="28"/>
      <c r="L10" s="28"/>
    </row>
    <row r="11" spans="1:12" ht="26.1" customHeight="1" x14ac:dyDescent="0.25">
      <c r="A11" s="27" t="s">
        <v>274</v>
      </c>
      <c r="B11" s="27"/>
      <c r="C11" s="27"/>
      <c r="D11" s="27"/>
      <c r="E11" s="27"/>
      <c r="F11" s="27"/>
      <c r="H11" s="31" t="s">
        <v>281</v>
      </c>
      <c r="I11" s="31"/>
      <c r="J11" s="31"/>
      <c r="K11" s="31"/>
      <c r="L11" s="31"/>
    </row>
    <row r="12" spans="1:12" ht="26.1" customHeight="1" x14ac:dyDescent="0.25">
      <c r="A12" s="28" t="s">
        <v>275</v>
      </c>
      <c r="B12" s="28"/>
      <c r="C12" s="28"/>
      <c r="D12" s="28"/>
      <c r="E12" s="28"/>
      <c r="F12" s="28"/>
      <c r="H12" s="28" t="s">
        <v>282</v>
      </c>
      <c r="I12" s="28"/>
      <c r="J12" s="28"/>
      <c r="K12" s="28"/>
      <c r="L12" s="28"/>
    </row>
    <row r="13" spans="1:12" ht="26.1" customHeight="1" x14ac:dyDescent="0.25">
      <c r="A13" s="27" t="s">
        <v>276</v>
      </c>
      <c r="B13" s="27"/>
      <c r="C13" s="27"/>
      <c r="D13" s="27"/>
      <c r="E13" s="27"/>
      <c r="F13" s="27"/>
      <c r="H13" s="31" t="s">
        <v>283</v>
      </c>
      <c r="I13" s="31"/>
      <c r="J13" s="31"/>
      <c r="K13" s="31"/>
      <c r="L13" s="31"/>
    </row>
    <row r="14" spans="1:12" ht="26.1" customHeight="1" x14ac:dyDescent="0.25">
      <c r="A14" s="28" t="s">
        <v>277</v>
      </c>
      <c r="B14" s="28"/>
      <c r="C14" s="28"/>
      <c r="D14" s="28"/>
      <c r="E14" s="28"/>
      <c r="F14" s="28"/>
      <c r="H14" s="28" t="s">
        <v>284</v>
      </c>
      <c r="I14" s="28"/>
      <c r="J14" s="28"/>
      <c r="K14" s="28"/>
      <c r="L14" s="28"/>
    </row>
    <row r="17" spans="1:12" x14ac:dyDescent="0.25">
      <c r="A17" s="29" t="s">
        <v>285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</row>
  </sheetData>
  <mergeCells count="17">
    <mergeCell ref="A17:L17"/>
    <mergeCell ref="A12:F12"/>
    <mergeCell ref="A13:F13"/>
    <mergeCell ref="A14:F14"/>
    <mergeCell ref="H8:L8"/>
    <mergeCell ref="H9:L9"/>
    <mergeCell ref="H10:L10"/>
    <mergeCell ref="H11:L11"/>
    <mergeCell ref="H12:L12"/>
    <mergeCell ref="H13:L13"/>
    <mergeCell ref="H14:L14"/>
    <mergeCell ref="A11:F11"/>
    <mergeCell ref="A1:L3"/>
    <mergeCell ref="A5:L6"/>
    <mergeCell ref="A8:F8"/>
    <mergeCell ref="A9:F9"/>
    <mergeCell ref="A10:F10"/>
  </mergeCell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F1222-E7C8-4EB8-8CDE-AB33AECED22F}">
  <sheetPr codeName="Hoja13">
    <tabColor rgb="FF1F6AA6"/>
    <pageSetUpPr fitToPage="1"/>
  </sheetPr>
  <dimension ref="A1:S957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9.7109375" style="15" customWidth="1"/>
    <col min="2" max="2" width="26.7109375" style="2" customWidth="1"/>
    <col min="3" max="4" width="18.7109375" style="2" customWidth="1"/>
    <col min="5" max="5" width="20.7109375" style="2" customWidth="1"/>
    <col min="6" max="6" width="15.7109375" style="2" customWidth="1"/>
    <col min="7" max="7" width="17.7109375" style="2" customWidth="1"/>
    <col min="8" max="8" width="16.7109375" style="2" customWidth="1"/>
    <col min="9" max="9" width="15.7109375" style="2" customWidth="1"/>
    <col min="10" max="10" width="19.7109375" style="2" customWidth="1"/>
    <col min="11" max="11" width="15.7109375" style="2" customWidth="1"/>
    <col min="12" max="13" width="18.7109375" style="2" customWidth="1"/>
    <col min="14" max="14" width="15.7109375" style="2" customWidth="1"/>
    <col min="15" max="15" width="22.7109375" style="2" customWidth="1"/>
    <col min="16" max="16" width="21.7109375" style="2" customWidth="1"/>
    <col min="17" max="17" width="18.7109375" style="2" customWidth="1"/>
    <col min="18" max="18" width="20.7109375" style="2" customWidth="1"/>
    <col min="19" max="19" width="32.7109375" style="2" customWidth="1"/>
    <col min="20" max="16384" width="11.42578125" style="2"/>
  </cols>
  <sheetData>
    <row r="1" spans="1:19" ht="36" customHeight="1" x14ac:dyDescent="0.25">
      <c r="A1" s="32" t="s">
        <v>112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</row>
    <row r="2" spans="1:19" ht="30" customHeight="1" x14ac:dyDescent="0.25">
      <c r="A2" s="33" t="s">
        <v>3938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5" spans="1:19" ht="32.1" customHeight="1" x14ac:dyDescent="0.25">
      <c r="A5" s="34" t="s">
        <v>3939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</row>
    <row r="6" spans="1:19" ht="8.1" customHeight="1" x14ac:dyDescent="0.25"/>
    <row r="7" spans="1:19" ht="36" customHeight="1" x14ac:dyDescent="0.25">
      <c r="A7" s="16" t="s">
        <v>113</v>
      </c>
      <c r="B7" s="3" t="s">
        <v>114</v>
      </c>
      <c r="C7" s="3" t="s">
        <v>115</v>
      </c>
      <c r="D7" s="3" t="s">
        <v>116</v>
      </c>
      <c r="E7" s="3" t="s">
        <v>117</v>
      </c>
      <c r="F7" s="3" t="s">
        <v>118</v>
      </c>
      <c r="G7" s="3" t="s">
        <v>119</v>
      </c>
      <c r="H7" s="4" t="s">
        <v>120</v>
      </c>
      <c r="I7" s="3" t="s">
        <v>121</v>
      </c>
      <c r="J7" s="3" t="s">
        <v>122</v>
      </c>
      <c r="K7" s="3" t="s">
        <v>123</v>
      </c>
      <c r="L7" s="4" t="s">
        <v>124</v>
      </c>
      <c r="M7" s="4" t="s">
        <v>125</v>
      </c>
      <c r="N7" s="3" t="s">
        <v>126</v>
      </c>
      <c r="O7" s="3" t="s">
        <v>127</v>
      </c>
      <c r="P7" s="3" t="s">
        <v>128</v>
      </c>
      <c r="Q7" s="5" t="s">
        <v>129</v>
      </c>
      <c r="R7" s="3" t="s">
        <v>130</v>
      </c>
      <c r="S7" s="6" t="s">
        <v>131</v>
      </c>
    </row>
    <row r="8" spans="1:19" ht="40.5" x14ac:dyDescent="0.25">
      <c r="A8" s="17" t="s">
        <v>286</v>
      </c>
      <c r="B8" s="7" t="s">
        <v>287</v>
      </c>
      <c r="C8" s="7" t="s">
        <v>288</v>
      </c>
      <c r="D8" s="7"/>
      <c r="E8" s="7"/>
      <c r="F8" s="7" t="s">
        <v>289</v>
      </c>
      <c r="G8" s="7" t="s">
        <v>289</v>
      </c>
      <c r="H8" s="8"/>
      <c r="I8" s="7"/>
      <c r="J8" s="7"/>
      <c r="K8" s="7"/>
      <c r="L8" s="8"/>
      <c r="M8" s="8"/>
      <c r="N8" s="7"/>
      <c r="O8" s="7"/>
      <c r="P8" s="7" t="s">
        <v>87</v>
      </c>
      <c r="Q8" s="9">
        <v>46143</v>
      </c>
      <c r="R8" s="7" t="s">
        <v>290</v>
      </c>
      <c r="S8" s="10" t="s">
        <v>291</v>
      </c>
    </row>
    <row r="9" spans="1:19" ht="27" x14ac:dyDescent="0.25">
      <c r="A9" s="17" t="s">
        <v>292</v>
      </c>
      <c r="B9" s="7" t="s">
        <v>293</v>
      </c>
      <c r="C9" s="7" t="s">
        <v>294</v>
      </c>
      <c r="D9" s="7"/>
      <c r="E9" s="7"/>
      <c r="F9" s="7" t="s">
        <v>289</v>
      </c>
      <c r="G9" s="7" t="s">
        <v>289</v>
      </c>
      <c r="H9" s="8"/>
      <c r="I9" s="7"/>
      <c r="J9" s="7"/>
      <c r="K9" s="7"/>
      <c r="L9" s="8"/>
      <c r="M9" s="8"/>
      <c r="N9" s="7"/>
      <c r="O9" s="7"/>
      <c r="P9" s="7" t="s">
        <v>87</v>
      </c>
      <c r="Q9" s="9">
        <v>46203</v>
      </c>
      <c r="R9" s="7" t="s">
        <v>290</v>
      </c>
      <c r="S9" s="10" t="s">
        <v>295</v>
      </c>
    </row>
    <row r="10" spans="1:19" ht="67.5" x14ac:dyDescent="0.25">
      <c r="A10" s="17" t="s">
        <v>296</v>
      </c>
      <c r="B10" s="7" t="s">
        <v>297</v>
      </c>
      <c r="C10" s="7" t="s">
        <v>298</v>
      </c>
      <c r="D10" s="7" t="s">
        <v>299</v>
      </c>
      <c r="E10" s="7" t="s">
        <v>300</v>
      </c>
      <c r="F10" s="7" t="s">
        <v>301</v>
      </c>
      <c r="G10" s="7" t="s">
        <v>301</v>
      </c>
      <c r="H10" s="8">
        <v>1</v>
      </c>
      <c r="I10" s="7"/>
      <c r="J10" s="7"/>
      <c r="K10" s="7"/>
      <c r="L10" s="8"/>
      <c r="M10" s="8"/>
      <c r="N10" s="7"/>
      <c r="O10" s="7"/>
      <c r="P10" s="7" t="s">
        <v>87</v>
      </c>
      <c r="Q10" s="9">
        <v>46073</v>
      </c>
      <c r="R10" s="7" t="s">
        <v>290</v>
      </c>
      <c r="S10" s="10" t="s">
        <v>302</v>
      </c>
    </row>
    <row r="11" spans="1:19" ht="81" x14ac:dyDescent="0.25">
      <c r="A11" s="17" t="s">
        <v>303</v>
      </c>
      <c r="B11" s="7" t="s">
        <v>304</v>
      </c>
      <c r="C11" s="7" t="s">
        <v>305</v>
      </c>
      <c r="D11" s="7" t="s">
        <v>306</v>
      </c>
      <c r="E11" s="7" t="s">
        <v>307</v>
      </c>
      <c r="F11" s="7" t="s">
        <v>308</v>
      </c>
      <c r="G11" s="7" t="s">
        <v>308</v>
      </c>
      <c r="H11" s="8">
        <v>6000</v>
      </c>
      <c r="I11" s="7"/>
      <c r="J11" s="7"/>
      <c r="K11" s="7"/>
      <c r="L11" s="8"/>
      <c r="M11" s="8"/>
      <c r="N11" s="7"/>
      <c r="O11" s="7"/>
      <c r="P11" s="7" t="s">
        <v>87</v>
      </c>
      <c r="Q11" s="9">
        <v>46103</v>
      </c>
      <c r="R11" s="7" t="s">
        <v>290</v>
      </c>
      <c r="S11" s="10" t="s">
        <v>309</v>
      </c>
    </row>
    <row r="12" spans="1:19" ht="81" x14ac:dyDescent="0.25">
      <c r="A12" s="17" t="s">
        <v>310</v>
      </c>
      <c r="B12" s="7" t="s">
        <v>311</v>
      </c>
      <c r="C12" s="7" t="s">
        <v>305</v>
      </c>
      <c r="D12" s="7" t="s">
        <v>312</v>
      </c>
      <c r="E12" s="7" t="s">
        <v>313</v>
      </c>
      <c r="F12" s="7" t="s">
        <v>308</v>
      </c>
      <c r="G12" s="7" t="s">
        <v>301</v>
      </c>
      <c r="H12" s="8">
        <v>2000</v>
      </c>
      <c r="I12" s="7"/>
      <c r="J12" s="7"/>
      <c r="K12" s="7"/>
      <c r="L12" s="8"/>
      <c r="M12" s="8"/>
      <c r="N12" s="7"/>
      <c r="O12" s="7"/>
      <c r="P12" s="7" t="s">
        <v>87</v>
      </c>
      <c r="Q12" s="9">
        <v>46103</v>
      </c>
      <c r="R12" s="7" t="s">
        <v>290</v>
      </c>
      <c r="S12" s="10" t="s">
        <v>314</v>
      </c>
    </row>
    <row r="13" spans="1:19" ht="81" x14ac:dyDescent="0.25">
      <c r="A13" s="17" t="s">
        <v>315</v>
      </c>
      <c r="B13" s="7" t="s">
        <v>316</v>
      </c>
      <c r="C13" s="7" t="s">
        <v>305</v>
      </c>
      <c r="D13" s="7" t="s">
        <v>317</v>
      </c>
      <c r="E13" s="7" t="s">
        <v>318</v>
      </c>
      <c r="F13" s="7" t="s">
        <v>308</v>
      </c>
      <c r="G13" s="7" t="s">
        <v>308</v>
      </c>
      <c r="H13" s="8">
        <v>5000</v>
      </c>
      <c r="I13" s="7"/>
      <c r="J13" s="7"/>
      <c r="K13" s="7"/>
      <c r="L13" s="8"/>
      <c r="M13" s="8"/>
      <c r="N13" s="7"/>
      <c r="O13" s="7"/>
      <c r="P13" s="7" t="s">
        <v>87</v>
      </c>
      <c r="Q13" s="9">
        <v>46091</v>
      </c>
      <c r="R13" s="7" t="s">
        <v>290</v>
      </c>
      <c r="S13" s="10" t="s">
        <v>319</v>
      </c>
    </row>
    <row r="14" spans="1:19" ht="81" x14ac:dyDescent="0.25">
      <c r="A14" s="17" t="s">
        <v>320</v>
      </c>
      <c r="B14" s="7" t="s">
        <v>321</v>
      </c>
      <c r="C14" s="7" t="s">
        <v>305</v>
      </c>
      <c r="D14" s="7" t="s">
        <v>322</v>
      </c>
      <c r="E14" s="7" t="s">
        <v>323</v>
      </c>
      <c r="F14" s="7" t="s">
        <v>308</v>
      </c>
      <c r="G14" s="7" t="s">
        <v>308</v>
      </c>
      <c r="H14" s="8">
        <v>20000</v>
      </c>
      <c r="I14" s="7"/>
      <c r="J14" s="7"/>
      <c r="K14" s="7"/>
      <c r="L14" s="8"/>
      <c r="M14" s="8"/>
      <c r="N14" s="7"/>
      <c r="O14" s="7"/>
      <c r="P14" s="7" t="s">
        <v>87</v>
      </c>
      <c r="Q14" s="9">
        <v>46095</v>
      </c>
      <c r="R14" s="7" t="s">
        <v>290</v>
      </c>
      <c r="S14" s="10" t="s">
        <v>324</v>
      </c>
    </row>
    <row r="15" spans="1:19" ht="81" x14ac:dyDescent="0.25">
      <c r="A15" s="17" t="s">
        <v>325</v>
      </c>
      <c r="B15" s="7" t="s">
        <v>326</v>
      </c>
      <c r="C15" s="7" t="s">
        <v>327</v>
      </c>
      <c r="D15" s="7" t="s">
        <v>328</v>
      </c>
      <c r="E15" s="7" t="s">
        <v>329</v>
      </c>
      <c r="F15" s="7" t="s">
        <v>25</v>
      </c>
      <c r="G15" s="7" t="s">
        <v>25</v>
      </c>
      <c r="H15" s="8">
        <v>340</v>
      </c>
      <c r="I15" s="7"/>
      <c r="J15" s="7"/>
      <c r="K15" s="7"/>
      <c r="L15" s="8"/>
      <c r="M15" s="8"/>
      <c r="N15" s="7"/>
      <c r="O15" s="7"/>
      <c r="P15" s="7" t="s">
        <v>87</v>
      </c>
      <c r="Q15" s="9">
        <v>46189</v>
      </c>
      <c r="R15" s="7" t="s">
        <v>290</v>
      </c>
      <c r="S15" s="10" t="s">
        <v>330</v>
      </c>
    </row>
    <row r="16" spans="1:19" ht="81" x14ac:dyDescent="0.25">
      <c r="A16" s="17" t="s">
        <v>331</v>
      </c>
      <c r="B16" s="7" t="s">
        <v>332</v>
      </c>
      <c r="C16" s="7" t="s">
        <v>305</v>
      </c>
      <c r="D16" s="7" t="s">
        <v>333</v>
      </c>
      <c r="E16" s="7" t="s">
        <v>334</v>
      </c>
      <c r="F16" s="7" t="s">
        <v>289</v>
      </c>
      <c r="G16" s="7" t="s">
        <v>289</v>
      </c>
      <c r="H16" s="8">
        <v>1</v>
      </c>
      <c r="I16" s="7"/>
      <c r="J16" s="7"/>
      <c r="K16" s="7"/>
      <c r="L16" s="8"/>
      <c r="M16" s="8"/>
      <c r="N16" s="7"/>
      <c r="O16" s="7"/>
      <c r="P16" s="7" t="s">
        <v>87</v>
      </c>
      <c r="Q16" s="9">
        <v>46149</v>
      </c>
      <c r="R16" s="7" t="s">
        <v>290</v>
      </c>
      <c r="S16" s="10" t="s">
        <v>335</v>
      </c>
    </row>
    <row r="17" spans="1:19" ht="27" x14ac:dyDescent="0.25">
      <c r="A17" s="17" t="s">
        <v>336</v>
      </c>
      <c r="B17" s="7" t="s">
        <v>337</v>
      </c>
      <c r="C17" s="7" t="s">
        <v>338</v>
      </c>
      <c r="D17" s="7"/>
      <c r="E17" s="7"/>
      <c r="F17" s="7" t="s">
        <v>289</v>
      </c>
      <c r="G17" s="7" t="s">
        <v>289</v>
      </c>
      <c r="H17" s="8"/>
      <c r="I17" s="7"/>
      <c r="J17" s="7"/>
      <c r="K17" s="7"/>
      <c r="L17" s="8"/>
      <c r="M17" s="8"/>
      <c r="N17" s="7"/>
      <c r="O17" s="7"/>
      <c r="P17" s="7" t="s">
        <v>87</v>
      </c>
      <c r="Q17" s="9">
        <v>46185</v>
      </c>
      <c r="R17" s="7" t="s">
        <v>290</v>
      </c>
      <c r="S17" s="10" t="s">
        <v>339</v>
      </c>
    </row>
    <row r="18" spans="1:19" ht="67.5" x14ac:dyDescent="0.25">
      <c r="A18" s="17" t="s">
        <v>340</v>
      </c>
      <c r="B18" s="7" t="s">
        <v>341</v>
      </c>
      <c r="C18" s="7" t="s">
        <v>342</v>
      </c>
      <c r="D18" s="7" t="s">
        <v>343</v>
      </c>
      <c r="E18" s="7" t="s">
        <v>344</v>
      </c>
      <c r="F18" s="7" t="s">
        <v>308</v>
      </c>
      <c r="G18" s="7" t="s">
        <v>301</v>
      </c>
      <c r="H18" s="8">
        <v>1000</v>
      </c>
      <c r="I18" s="7"/>
      <c r="J18" s="7"/>
      <c r="K18" s="7"/>
      <c r="L18" s="8"/>
      <c r="M18" s="8"/>
      <c r="N18" s="7"/>
      <c r="O18" s="7"/>
      <c r="P18" s="7" t="s">
        <v>87</v>
      </c>
      <c r="Q18" s="9">
        <v>46072</v>
      </c>
      <c r="R18" s="7" t="s">
        <v>290</v>
      </c>
      <c r="S18" s="10" t="s">
        <v>345</v>
      </c>
    </row>
    <row r="19" spans="1:19" ht="67.5" x14ac:dyDescent="0.25">
      <c r="A19" s="17" t="s">
        <v>346</v>
      </c>
      <c r="B19" s="7" t="s">
        <v>347</v>
      </c>
      <c r="C19" s="7" t="s">
        <v>348</v>
      </c>
      <c r="D19" s="7" t="s">
        <v>349</v>
      </c>
      <c r="E19" s="7" t="s">
        <v>350</v>
      </c>
      <c r="F19" s="7" t="s">
        <v>289</v>
      </c>
      <c r="G19" s="7" t="s">
        <v>289</v>
      </c>
      <c r="H19" s="8">
        <v>24</v>
      </c>
      <c r="I19" s="7"/>
      <c r="J19" s="7"/>
      <c r="K19" s="7"/>
      <c r="L19" s="8"/>
      <c r="M19" s="8"/>
      <c r="N19" s="7"/>
      <c r="O19" s="7"/>
      <c r="P19" s="7" t="s">
        <v>87</v>
      </c>
      <c r="Q19" s="9">
        <v>46078</v>
      </c>
      <c r="R19" s="7" t="s">
        <v>290</v>
      </c>
      <c r="S19" s="10" t="s">
        <v>351</v>
      </c>
    </row>
    <row r="20" spans="1:19" ht="67.5" x14ac:dyDescent="0.25">
      <c r="A20" s="58" t="s">
        <v>352</v>
      </c>
      <c r="B20" s="7" t="s">
        <v>353</v>
      </c>
      <c r="C20" s="7" t="s">
        <v>348</v>
      </c>
      <c r="D20" s="7" t="s">
        <v>354</v>
      </c>
      <c r="E20" s="7" t="s">
        <v>355</v>
      </c>
      <c r="F20" s="7" t="s">
        <v>289</v>
      </c>
      <c r="G20" s="7" t="s">
        <v>289</v>
      </c>
      <c r="H20" s="8">
        <v>24</v>
      </c>
      <c r="I20" s="7"/>
      <c r="J20" s="7"/>
      <c r="K20" s="7"/>
      <c r="L20" s="8"/>
      <c r="M20" s="8"/>
      <c r="N20" s="7"/>
      <c r="O20" s="7"/>
      <c r="P20" s="7" t="s">
        <v>87</v>
      </c>
      <c r="Q20" s="9">
        <v>46126</v>
      </c>
      <c r="R20" s="7" t="s">
        <v>290</v>
      </c>
      <c r="S20" s="10" t="s">
        <v>356</v>
      </c>
    </row>
    <row r="21" spans="1:19" ht="81" x14ac:dyDescent="0.25">
      <c r="A21" s="17" t="s">
        <v>357</v>
      </c>
      <c r="B21" s="7" t="s">
        <v>358</v>
      </c>
      <c r="C21" s="7" t="s">
        <v>359</v>
      </c>
      <c r="D21" s="7" t="s">
        <v>360</v>
      </c>
      <c r="E21" s="7" t="s">
        <v>361</v>
      </c>
      <c r="F21" s="7" t="s">
        <v>25</v>
      </c>
      <c r="G21" s="7" t="s">
        <v>25</v>
      </c>
      <c r="H21" s="8">
        <v>1000</v>
      </c>
      <c r="I21" s="7"/>
      <c r="J21" s="7"/>
      <c r="K21" s="7"/>
      <c r="L21" s="8"/>
      <c r="M21" s="8"/>
      <c r="N21" s="7"/>
      <c r="O21" s="7"/>
      <c r="P21" s="7" t="s">
        <v>87</v>
      </c>
      <c r="Q21" s="9">
        <v>46107</v>
      </c>
      <c r="R21" s="7" t="s">
        <v>290</v>
      </c>
      <c r="S21" s="10" t="s">
        <v>362</v>
      </c>
    </row>
    <row r="22" spans="1:19" ht="81" x14ac:dyDescent="0.25">
      <c r="A22" s="17" t="s">
        <v>363</v>
      </c>
      <c r="B22" s="7" t="s">
        <v>364</v>
      </c>
      <c r="C22" s="7" t="s">
        <v>359</v>
      </c>
      <c r="D22" s="7" t="s">
        <v>365</v>
      </c>
      <c r="E22" s="7" t="s">
        <v>361</v>
      </c>
      <c r="F22" s="7" t="s">
        <v>25</v>
      </c>
      <c r="G22" s="7" t="s">
        <v>25</v>
      </c>
      <c r="H22" s="8">
        <v>1000</v>
      </c>
      <c r="I22" s="7"/>
      <c r="J22" s="7"/>
      <c r="K22" s="7"/>
      <c r="L22" s="8"/>
      <c r="M22" s="8"/>
      <c r="N22" s="7"/>
      <c r="O22" s="7"/>
      <c r="P22" s="7" t="s">
        <v>87</v>
      </c>
      <c r="Q22" s="9">
        <v>46126</v>
      </c>
      <c r="R22" s="7" t="s">
        <v>290</v>
      </c>
      <c r="S22" s="10" t="s">
        <v>366</v>
      </c>
    </row>
    <row r="23" spans="1:19" ht="40.5" x14ac:dyDescent="0.25">
      <c r="A23" s="17" t="s">
        <v>367</v>
      </c>
      <c r="B23" s="7" t="s">
        <v>368</v>
      </c>
      <c r="C23" s="7" t="s">
        <v>288</v>
      </c>
      <c r="D23" s="7"/>
      <c r="E23" s="7"/>
      <c r="F23" s="7" t="s">
        <v>289</v>
      </c>
      <c r="G23" s="7" t="s">
        <v>289</v>
      </c>
      <c r="H23" s="8"/>
      <c r="I23" s="7"/>
      <c r="J23" s="7"/>
      <c r="K23" s="7"/>
      <c r="L23" s="8"/>
      <c r="M23" s="8"/>
      <c r="N23" s="7"/>
      <c r="O23" s="7"/>
      <c r="P23" s="7" t="s">
        <v>87</v>
      </c>
      <c r="Q23" s="9">
        <v>46144</v>
      </c>
      <c r="R23" s="7" t="s">
        <v>290</v>
      </c>
      <c r="S23" s="10" t="s">
        <v>369</v>
      </c>
    </row>
    <row r="24" spans="1:19" ht="40.5" x14ac:dyDescent="0.25">
      <c r="A24" s="17" t="s">
        <v>370</v>
      </c>
      <c r="B24" s="7" t="s">
        <v>371</v>
      </c>
      <c r="C24" s="7" t="s">
        <v>288</v>
      </c>
      <c r="D24" s="7"/>
      <c r="E24" s="7"/>
      <c r="F24" s="7" t="s">
        <v>289</v>
      </c>
      <c r="G24" s="7" t="s">
        <v>289</v>
      </c>
      <c r="H24" s="8"/>
      <c r="I24" s="7"/>
      <c r="J24" s="7"/>
      <c r="K24" s="7"/>
      <c r="L24" s="8"/>
      <c r="M24" s="8"/>
      <c r="N24" s="7"/>
      <c r="O24" s="7"/>
      <c r="P24" s="7" t="s">
        <v>87</v>
      </c>
      <c r="Q24" s="9">
        <v>46221</v>
      </c>
      <c r="R24" s="7" t="s">
        <v>290</v>
      </c>
      <c r="S24" s="10" t="s">
        <v>372</v>
      </c>
    </row>
    <row r="25" spans="1:19" ht="40.5" x14ac:dyDescent="0.25">
      <c r="A25" s="17" t="s">
        <v>373</v>
      </c>
      <c r="B25" s="7" t="s">
        <v>374</v>
      </c>
      <c r="C25" s="7" t="s">
        <v>288</v>
      </c>
      <c r="D25" s="7"/>
      <c r="E25" s="7"/>
      <c r="F25" s="7" t="s">
        <v>289</v>
      </c>
      <c r="G25" s="7" t="s">
        <v>289</v>
      </c>
      <c r="H25" s="8"/>
      <c r="I25" s="7"/>
      <c r="J25" s="7"/>
      <c r="K25" s="7"/>
      <c r="L25" s="8"/>
      <c r="M25" s="8"/>
      <c r="N25" s="7"/>
      <c r="O25" s="7"/>
      <c r="P25" s="7" t="s">
        <v>87</v>
      </c>
      <c r="Q25" s="9">
        <v>46221</v>
      </c>
      <c r="R25" s="7" t="s">
        <v>290</v>
      </c>
      <c r="S25" s="10" t="s">
        <v>375</v>
      </c>
    </row>
    <row r="26" spans="1:19" ht="40.5" x14ac:dyDescent="0.25">
      <c r="A26" s="17" t="s">
        <v>376</v>
      </c>
      <c r="B26" s="7" t="s">
        <v>377</v>
      </c>
      <c r="C26" s="7" t="s">
        <v>378</v>
      </c>
      <c r="D26" s="7"/>
      <c r="E26" s="7"/>
      <c r="F26" s="7" t="s">
        <v>289</v>
      </c>
      <c r="G26" s="7" t="s">
        <v>289</v>
      </c>
      <c r="H26" s="8"/>
      <c r="I26" s="7"/>
      <c r="J26" s="7"/>
      <c r="K26" s="7"/>
      <c r="L26" s="8"/>
      <c r="M26" s="8"/>
      <c r="N26" s="7"/>
      <c r="O26" s="7"/>
      <c r="P26" s="7" t="s">
        <v>87</v>
      </c>
      <c r="Q26" s="9">
        <v>46221</v>
      </c>
      <c r="R26" s="7" t="s">
        <v>290</v>
      </c>
      <c r="S26" s="10" t="s">
        <v>379</v>
      </c>
    </row>
    <row r="27" spans="1:19" ht="40.5" x14ac:dyDescent="0.25">
      <c r="A27" s="17" t="s">
        <v>380</v>
      </c>
      <c r="B27" s="7" t="s">
        <v>381</v>
      </c>
      <c r="C27" s="7" t="s">
        <v>288</v>
      </c>
      <c r="D27" s="7"/>
      <c r="E27" s="7"/>
      <c r="F27" s="7" t="s">
        <v>289</v>
      </c>
      <c r="G27" s="7" t="s">
        <v>289</v>
      </c>
      <c r="H27" s="8"/>
      <c r="I27" s="7"/>
      <c r="J27" s="7"/>
      <c r="K27" s="7"/>
      <c r="L27" s="8"/>
      <c r="M27" s="8"/>
      <c r="N27" s="7"/>
      <c r="O27" s="7"/>
      <c r="P27" s="7" t="s">
        <v>87</v>
      </c>
      <c r="Q27" s="9">
        <v>46172</v>
      </c>
      <c r="R27" s="7" t="s">
        <v>290</v>
      </c>
      <c r="S27" s="10" t="s">
        <v>382</v>
      </c>
    </row>
    <row r="28" spans="1:19" ht="40.5" x14ac:dyDescent="0.25">
      <c r="A28" s="17" t="s">
        <v>383</v>
      </c>
      <c r="B28" s="7" t="s">
        <v>384</v>
      </c>
      <c r="C28" s="7" t="s">
        <v>288</v>
      </c>
      <c r="D28" s="7"/>
      <c r="E28" s="7"/>
      <c r="F28" s="7" t="s">
        <v>289</v>
      </c>
      <c r="G28" s="7" t="s">
        <v>289</v>
      </c>
      <c r="H28" s="8"/>
      <c r="I28" s="7"/>
      <c r="J28" s="7"/>
      <c r="K28" s="7"/>
      <c r="L28" s="8"/>
      <c r="M28" s="8"/>
      <c r="N28" s="7"/>
      <c r="O28" s="7"/>
      <c r="P28" s="7" t="s">
        <v>87</v>
      </c>
      <c r="Q28" s="9">
        <v>46221</v>
      </c>
      <c r="R28" s="7" t="s">
        <v>290</v>
      </c>
      <c r="S28" s="10" t="s">
        <v>385</v>
      </c>
    </row>
    <row r="29" spans="1:19" ht="81" x14ac:dyDescent="0.25">
      <c r="A29" s="17" t="s">
        <v>386</v>
      </c>
      <c r="B29" s="7" t="s">
        <v>387</v>
      </c>
      <c r="C29" s="7" t="s">
        <v>388</v>
      </c>
      <c r="D29" s="7" t="s">
        <v>389</v>
      </c>
      <c r="E29" s="7" t="s">
        <v>390</v>
      </c>
      <c r="F29" s="7" t="s">
        <v>25</v>
      </c>
      <c r="G29" s="7" t="s">
        <v>25</v>
      </c>
      <c r="H29" s="8">
        <v>340.2</v>
      </c>
      <c r="I29" s="7"/>
      <c r="J29" s="7"/>
      <c r="K29" s="7"/>
      <c r="L29" s="8"/>
      <c r="M29" s="8"/>
      <c r="N29" s="7"/>
      <c r="O29" s="7"/>
      <c r="P29" s="7" t="s">
        <v>87</v>
      </c>
      <c r="Q29" s="9">
        <v>46076</v>
      </c>
      <c r="R29" s="7" t="s">
        <v>290</v>
      </c>
      <c r="S29" s="10" t="s">
        <v>391</v>
      </c>
    </row>
    <row r="30" spans="1:19" ht="81" x14ac:dyDescent="0.25">
      <c r="A30" s="17" t="s">
        <v>392</v>
      </c>
      <c r="B30" s="7" t="s">
        <v>393</v>
      </c>
      <c r="C30" s="7" t="s">
        <v>388</v>
      </c>
      <c r="D30" s="7" t="s">
        <v>394</v>
      </c>
      <c r="E30" s="7" t="s">
        <v>395</v>
      </c>
      <c r="F30" s="7" t="s">
        <v>25</v>
      </c>
      <c r="G30" s="7" t="s">
        <v>25</v>
      </c>
      <c r="H30" s="8">
        <v>453.6</v>
      </c>
      <c r="I30" s="7"/>
      <c r="J30" s="7"/>
      <c r="K30" s="7"/>
      <c r="L30" s="8"/>
      <c r="M30" s="8"/>
      <c r="N30" s="7"/>
      <c r="O30" s="7"/>
      <c r="P30" s="7" t="s">
        <v>87</v>
      </c>
      <c r="Q30" s="9">
        <v>46133</v>
      </c>
      <c r="R30" s="7" t="s">
        <v>290</v>
      </c>
      <c r="S30" s="10" t="s">
        <v>396</v>
      </c>
    </row>
    <row r="31" spans="1:19" ht="81" x14ac:dyDescent="0.25">
      <c r="A31" s="17" t="s">
        <v>397</v>
      </c>
      <c r="B31" s="7" t="s">
        <v>398</v>
      </c>
      <c r="C31" s="7" t="s">
        <v>359</v>
      </c>
      <c r="D31" s="7" t="s">
        <v>399</v>
      </c>
      <c r="E31" s="7" t="s">
        <v>361</v>
      </c>
      <c r="F31" s="7" t="s">
        <v>25</v>
      </c>
      <c r="G31" s="7" t="s">
        <v>25</v>
      </c>
      <c r="H31" s="8">
        <v>1000</v>
      </c>
      <c r="I31" s="7"/>
      <c r="J31" s="7"/>
      <c r="K31" s="7"/>
      <c r="L31" s="8"/>
      <c r="M31" s="8"/>
      <c r="N31" s="7"/>
      <c r="O31" s="7"/>
      <c r="P31" s="7" t="s">
        <v>87</v>
      </c>
      <c r="Q31" s="9">
        <v>46073</v>
      </c>
      <c r="R31" s="7" t="s">
        <v>290</v>
      </c>
      <c r="S31" s="10" t="s">
        <v>400</v>
      </c>
    </row>
    <row r="32" spans="1:19" ht="81" x14ac:dyDescent="0.25">
      <c r="A32" s="17" t="s">
        <v>401</v>
      </c>
      <c r="B32" s="7" t="s">
        <v>402</v>
      </c>
      <c r="C32" s="7" t="s">
        <v>359</v>
      </c>
      <c r="D32" s="7" t="s">
        <v>403</v>
      </c>
      <c r="E32" s="7" t="s">
        <v>361</v>
      </c>
      <c r="F32" s="7" t="s">
        <v>25</v>
      </c>
      <c r="G32" s="7" t="s">
        <v>25</v>
      </c>
      <c r="H32" s="8">
        <v>1000</v>
      </c>
      <c r="I32" s="7"/>
      <c r="J32" s="7"/>
      <c r="K32" s="7"/>
      <c r="L32" s="8"/>
      <c r="M32" s="8"/>
      <c r="N32" s="7"/>
      <c r="O32" s="7"/>
      <c r="P32" s="7" t="s">
        <v>87</v>
      </c>
      <c r="Q32" s="9">
        <v>46126</v>
      </c>
      <c r="R32" s="7" t="s">
        <v>290</v>
      </c>
      <c r="S32" s="10" t="s">
        <v>404</v>
      </c>
    </row>
    <row r="33" spans="1:19" ht="40.5" x14ac:dyDescent="0.25">
      <c r="A33" s="17" t="s">
        <v>405</v>
      </c>
      <c r="B33" s="7" t="s">
        <v>406</v>
      </c>
      <c r="C33" s="7" t="s">
        <v>407</v>
      </c>
      <c r="D33" s="7"/>
      <c r="E33" s="7"/>
      <c r="F33" s="7" t="s">
        <v>25</v>
      </c>
      <c r="G33" s="7" t="s">
        <v>25</v>
      </c>
      <c r="H33" s="8"/>
      <c r="I33" s="7"/>
      <c r="J33" s="7"/>
      <c r="K33" s="7"/>
      <c r="L33" s="8"/>
      <c r="M33" s="8"/>
      <c r="N33" s="7"/>
      <c r="O33" s="7"/>
      <c r="P33" s="7" t="s">
        <v>87</v>
      </c>
      <c r="Q33" s="9">
        <v>46186</v>
      </c>
      <c r="R33" s="7" t="s">
        <v>290</v>
      </c>
      <c r="S33" s="10" t="s">
        <v>408</v>
      </c>
    </row>
    <row r="34" spans="1:19" ht="81" x14ac:dyDescent="0.25">
      <c r="A34" s="17" t="s">
        <v>409</v>
      </c>
      <c r="B34" s="7" t="s">
        <v>410</v>
      </c>
      <c r="C34" s="7" t="s">
        <v>411</v>
      </c>
      <c r="D34" s="7" t="s">
        <v>412</v>
      </c>
      <c r="E34" s="7" t="s">
        <v>361</v>
      </c>
      <c r="F34" s="7" t="s">
        <v>25</v>
      </c>
      <c r="G34" s="7" t="s">
        <v>25</v>
      </c>
      <c r="H34" s="8">
        <v>1000</v>
      </c>
      <c r="I34" s="7"/>
      <c r="J34" s="7"/>
      <c r="K34" s="7"/>
      <c r="L34" s="8"/>
      <c r="M34" s="8"/>
      <c r="N34" s="7"/>
      <c r="O34" s="7"/>
      <c r="P34" s="7" t="s">
        <v>87</v>
      </c>
      <c r="Q34" s="9">
        <v>46172</v>
      </c>
      <c r="R34" s="7" t="s">
        <v>290</v>
      </c>
      <c r="S34" s="10" t="s">
        <v>413</v>
      </c>
    </row>
    <row r="35" spans="1:19" ht="81" x14ac:dyDescent="0.25">
      <c r="A35" s="17" t="s">
        <v>414</v>
      </c>
      <c r="B35" s="7" t="s">
        <v>415</v>
      </c>
      <c r="C35" s="7" t="s">
        <v>411</v>
      </c>
      <c r="D35" s="7" t="s">
        <v>416</v>
      </c>
      <c r="E35" s="7" t="s">
        <v>361</v>
      </c>
      <c r="F35" s="7" t="s">
        <v>25</v>
      </c>
      <c r="G35" s="7" t="s">
        <v>25</v>
      </c>
      <c r="H35" s="8">
        <v>1000</v>
      </c>
      <c r="I35" s="7"/>
      <c r="J35" s="7"/>
      <c r="K35" s="7"/>
      <c r="L35" s="8"/>
      <c r="M35" s="8"/>
      <c r="N35" s="7"/>
      <c r="O35" s="7"/>
      <c r="P35" s="7" t="s">
        <v>87</v>
      </c>
      <c r="Q35" s="9">
        <v>46172</v>
      </c>
      <c r="R35" s="7" t="s">
        <v>290</v>
      </c>
      <c r="S35" s="10" t="s">
        <v>417</v>
      </c>
    </row>
    <row r="36" spans="1:19" ht="81" x14ac:dyDescent="0.25">
      <c r="A36" s="58" t="s">
        <v>418</v>
      </c>
      <c r="B36" s="7" t="s">
        <v>419</v>
      </c>
      <c r="C36" s="7" t="s">
        <v>420</v>
      </c>
      <c r="D36" s="7" t="s">
        <v>421</v>
      </c>
      <c r="E36" s="7" t="s">
        <v>422</v>
      </c>
      <c r="F36" s="7" t="s">
        <v>25</v>
      </c>
      <c r="G36" s="7" t="s">
        <v>25</v>
      </c>
      <c r="H36" s="8">
        <v>500</v>
      </c>
      <c r="I36" s="7"/>
      <c r="J36" s="7"/>
      <c r="K36" s="7"/>
      <c r="L36" s="8"/>
      <c r="M36" s="8"/>
      <c r="N36" s="7"/>
      <c r="O36" s="7"/>
      <c r="P36" s="7" t="s">
        <v>87</v>
      </c>
      <c r="Q36" s="9">
        <v>46091</v>
      </c>
      <c r="R36" s="7" t="s">
        <v>290</v>
      </c>
      <c r="S36" s="10" t="s">
        <v>423</v>
      </c>
    </row>
    <row r="37" spans="1:19" ht="81" x14ac:dyDescent="0.25">
      <c r="A37" s="17" t="s">
        <v>424</v>
      </c>
      <c r="B37" s="7" t="s">
        <v>425</v>
      </c>
      <c r="C37" s="7" t="s">
        <v>327</v>
      </c>
      <c r="D37" s="7" t="s">
        <v>426</v>
      </c>
      <c r="E37" s="7" t="s">
        <v>427</v>
      </c>
      <c r="F37" s="7" t="s">
        <v>25</v>
      </c>
      <c r="G37" s="7" t="s">
        <v>25</v>
      </c>
      <c r="H37" s="8">
        <v>250</v>
      </c>
      <c r="I37" s="7"/>
      <c r="J37" s="7"/>
      <c r="K37" s="7"/>
      <c r="L37" s="8"/>
      <c r="M37" s="8"/>
      <c r="N37" s="7"/>
      <c r="O37" s="7"/>
      <c r="P37" s="7" t="s">
        <v>87</v>
      </c>
      <c r="Q37" s="9">
        <v>46095</v>
      </c>
      <c r="R37" s="7" t="s">
        <v>290</v>
      </c>
      <c r="S37" s="10" t="s">
        <v>428</v>
      </c>
    </row>
    <row r="38" spans="1:19" ht="81" x14ac:dyDescent="0.25">
      <c r="A38" s="17" t="s">
        <v>429</v>
      </c>
      <c r="B38" s="7" t="s">
        <v>430</v>
      </c>
      <c r="C38" s="7" t="s">
        <v>431</v>
      </c>
      <c r="D38" s="7" t="s">
        <v>432</v>
      </c>
      <c r="E38" s="7" t="s">
        <v>433</v>
      </c>
      <c r="F38" s="7" t="s">
        <v>308</v>
      </c>
      <c r="G38" s="7" t="s">
        <v>301</v>
      </c>
      <c r="H38" s="8">
        <v>1000</v>
      </c>
      <c r="I38" s="7"/>
      <c r="J38" s="7"/>
      <c r="K38" s="7"/>
      <c r="L38" s="8"/>
      <c r="M38" s="8"/>
      <c r="N38" s="7"/>
      <c r="O38" s="7"/>
      <c r="P38" s="7" t="s">
        <v>87</v>
      </c>
      <c r="Q38" s="9">
        <v>46126</v>
      </c>
      <c r="R38" s="7" t="s">
        <v>290</v>
      </c>
      <c r="S38" s="10" t="s">
        <v>434</v>
      </c>
    </row>
    <row r="39" spans="1:19" ht="54" x14ac:dyDescent="0.25">
      <c r="A39" s="17" t="s">
        <v>435</v>
      </c>
      <c r="B39" s="7" t="s">
        <v>436</v>
      </c>
      <c r="C39" s="7" t="s">
        <v>437</v>
      </c>
      <c r="D39" s="7" t="s">
        <v>438</v>
      </c>
      <c r="E39" s="7" t="s">
        <v>439</v>
      </c>
      <c r="F39" s="7" t="s">
        <v>289</v>
      </c>
      <c r="G39" s="7" t="s">
        <v>289</v>
      </c>
      <c r="H39" s="8">
        <v>1</v>
      </c>
      <c r="I39" s="7"/>
      <c r="J39" s="7"/>
      <c r="K39" s="7"/>
      <c r="L39" s="8"/>
      <c r="M39" s="8"/>
      <c r="N39" s="7"/>
      <c r="O39" s="7"/>
      <c r="P39" s="7" t="s">
        <v>87</v>
      </c>
      <c r="Q39" s="9">
        <v>46121</v>
      </c>
      <c r="R39" s="7" t="s">
        <v>290</v>
      </c>
      <c r="S39" s="10" t="s">
        <v>440</v>
      </c>
    </row>
    <row r="40" spans="1:19" ht="54" x14ac:dyDescent="0.25">
      <c r="A40" s="17" t="s">
        <v>441</v>
      </c>
      <c r="B40" s="7" t="s">
        <v>442</v>
      </c>
      <c r="C40" s="7" t="s">
        <v>437</v>
      </c>
      <c r="D40" s="7" t="s">
        <v>443</v>
      </c>
      <c r="E40" s="7" t="s">
        <v>439</v>
      </c>
      <c r="F40" s="7" t="s">
        <v>289</v>
      </c>
      <c r="G40" s="7" t="s">
        <v>289</v>
      </c>
      <c r="H40" s="8">
        <v>1</v>
      </c>
      <c r="I40" s="7"/>
      <c r="J40" s="7"/>
      <c r="K40" s="7"/>
      <c r="L40" s="8"/>
      <c r="M40" s="8"/>
      <c r="N40" s="7"/>
      <c r="O40" s="7"/>
      <c r="P40" s="7" t="s">
        <v>87</v>
      </c>
      <c r="Q40" s="9">
        <v>46121</v>
      </c>
      <c r="R40" s="7" t="s">
        <v>290</v>
      </c>
      <c r="S40" s="10" t="s">
        <v>444</v>
      </c>
    </row>
    <row r="41" spans="1:19" ht="54" x14ac:dyDescent="0.25">
      <c r="A41" s="17" t="s">
        <v>445</v>
      </c>
      <c r="B41" s="7" t="s">
        <v>446</v>
      </c>
      <c r="C41" s="7" t="s">
        <v>437</v>
      </c>
      <c r="D41" s="7" t="s">
        <v>447</v>
      </c>
      <c r="E41" s="7" t="s">
        <v>439</v>
      </c>
      <c r="F41" s="7" t="s">
        <v>289</v>
      </c>
      <c r="G41" s="7" t="s">
        <v>289</v>
      </c>
      <c r="H41" s="8">
        <v>1</v>
      </c>
      <c r="I41" s="7"/>
      <c r="J41" s="7"/>
      <c r="K41" s="7"/>
      <c r="L41" s="8"/>
      <c r="M41" s="8"/>
      <c r="N41" s="7"/>
      <c r="O41" s="7"/>
      <c r="P41" s="7" t="s">
        <v>87</v>
      </c>
      <c r="Q41" s="9">
        <v>46121</v>
      </c>
      <c r="R41" s="7" t="s">
        <v>290</v>
      </c>
      <c r="S41" s="10" t="s">
        <v>448</v>
      </c>
    </row>
    <row r="42" spans="1:19" ht="67.5" x14ac:dyDescent="0.25">
      <c r="A42" s="17" t="s">
        <v>449</v>
      </c>
      <c r="B42" s="7" t="s">
        <v>450</v>
      </c>
      <c r="C42" s="7" t="s">
        <v>298</v>
      </c>
      <c r="D42" s="7" t="s">
        <v>451</v>
      </c>
      <c r="E42" s="7" t="s">
        <v>300</v>
      </c>
      <c r="F42" s="7" t="s">
        <v>24</v>
      </c>
      <c r="G42" s="7" t="s">
        <v>24</v>
      </c>
      <c r="H42" s="8">
        <v>1</v>
      </c>
      <c r="I42" s="7"/>
      <c r="J42" s="7"/>
      <c r="K42" s="7"/>
      <c r="L42" s="8"/>
      <c r="M42" s="8"/>
      <c r="N42" s="7"/>
      <c r="O42" s="7"/>
      <c r="P42" s="7" t="s">
        <v>87</v>
      </c>
      <c r="Q42" s="9">
        <v>46097</v>
      </c>
      <c r="R42" s="7" t="s">
        <v>290</v>
      </c>
      <c r="S42" s="10" t="s">
        <v>452</v>
      </c>
    </row>
    <row r="43" spans="1:19" ht="81" x14ac:dyDescent="0.25">
      <c r="A43" s="17" t="s">
        <v>453</v>
      </c>
      <c r="B43" s="7" t="s">
        <v>454</v>
      </c>
      <c r="C43" s="7" t="s">
        <v>455</v>
      </c>
      <c r="D43" s="7" t="s">
        <v>456</v>
      </c>
      <c r="E43" s="7" t="s">
        <v>361</v>
      </c>
      <c r="F43" s="7" t="s">
        <v>25</v>
      </c>
      <c r="G43" s="7" t="s">
        <v>25</v>
      </c>
      <c r="H43" s="8">
        <v>1000</v>
      </c>
      <c r="I43" s="7"/>
      <c r="J43" s="7"/>
      <c r="K43" s="7"/>
      <c r="L43" s="8"/>
      <c r="M43" s="8"/>
      <c r="N43" s="7"/>
      <c r="O43" s="7"/>
      <c r="P43" s="7" t="s">
        <v>87</v>
      </c>
      <c r="Q43" s="9">
        <v>46095</v>
      </c>
      <c r="R43" s="7" t="s">
        <v>290</v>
      </c>
      <c r="S43" s="10" t="s">
        <v>457</v>
      </c>
    </row>
    <row r="44" spans="1:19" ht="81" x14ac:dyDescent="0.25">
      <c r="A44" s="17" t="s">
        <v>458</v>
      </c>
      <c r="B44" s="7" t="s">
        <v>459</v>
      </c>
      <c r="C44" s="7" t="s">
        <v>460</v>
      </c>
      <c r="D44" s="7" t="s">
        <v>461</v>
      </c>
      <c r="E44" s="7" t="s">
        <v>462</v>
      </c>
      <c r="F44" s="7" t="s">
        <v>25</v>
      </c>
      <c r="G44" s="7" t="s">
        <v>24</v>
      </c>
      <c r="H44" s="8">
        <v>1000</v>
      </c>
      <c r="I44" s="7"/>
      <c r="J44" s="7"/>
      <c r="K44" s="7"/>
      <c r="L44" s="8"/>
      <c r="M44" s="8"/>
      <c r="N44" s="7"/>
      <c r="O44" s="7"/>
      <c r="P44" s="7" t="s">
        <v>87</v>
      </c>
      <c r="Q44" s="9">
        <v>46097</v>
      </c>
      <c r="R44" s="7" t="s">
        <v>290</v>
      </c>
      <c r="S44" s="10" t="s">
        <v>463</v>
      </c>
    </row>
    <row r="45" spans="1:19" ht="81" x14ac:dyDescent="0.25">
      <c r="A45" s="17" t="s">
        <v>464</v>
      </c>
      <c r="B45" s="7" t="s">
        <v>465</v>
      </c>
      <c r="C45" s="7" t="s">
        <v>460</v>
      </c>
      <c r="D45" s="7" t="s">
        <v>466</v>
      </c>
      <c r="E45" s="7" t="s">
        <v>467</v>
      </c>
      <c r="F45" s="7" t="s">
        <v>25</v>
      </c>
      <c r="G45" s="7" t="s">
        <v>24</v>
      </c>
      <c r="H45" s="8">
        <v>1000</v>
      </c>
      <c r="I45" s="7"/>
      <c r="J45" s="7"/>
      <c r="K45" s="7"/>
      <c r="L45" s="8"/>
      <c r="M45" s="8"/>
      <c r="N45" s="7"/>
      <c r="O45" s="7"/>
      <c r="P45" s="7" t="s">
        <v>87</v>
      </c>
      <c r="Q45" s="9">
        <v>46097</v>
      </c>
      <c r="R45" s="7" t="s">
        <v>290</v>
      </c>
      <c r="S45" s="10" t="s">
        <v>468</v>
      </c>
    </row>
    <row r="46" spans="1:19" ht="54" x14ac:dyDescent="0.25">
      <c r="A46" s="17" t="s">
        <v>469</v>
      </c>
      <c r="B46" s="7" t="s">
        <v>470</v>
      </c>
      <c r="C46" s="7" t="s">
        <v>294</v>
      </c>
      <c r="D46" s="7" t="s">
        <v>471</v>
      </c>
      <c r="E46" s="7" t="s">
        <v>439</v>
      </c>
      <c r="F46" s="7" t="s">
        <v>289</v>
      </c>
      <c r="G46" s="7" t="s">
        <v>289</v>
      </c>
      <c r="H46" s="8">
        <v>1</v>
      </c>
      <c r="I46" s="7"/>
      <c r="J46" s="7"/>
      <c r="K46" s="7"/>
      <c r="L46" s="8"/>
      <c r="M46" s="8"/>
      <c r="N46" s="7"/>
      <c r="O46" s="7"/>
      <c r="P46" s="7" t="s">
        <v>87</v>
      </c>
      <c r="Q46" s="9">
        <v>46121</v>
      </c>
      <c r="R46" s="7" t="s">
        <v>290</v>
      </c>
      <c r="S46" s="10" t="s">
        <v>472</v>
      </c>
    </row>
    <row r="47" spans="1:19" ht="81" x14ac:dyDescent="0.25">
      <c r="A47" s="17" t="s">
        <v>473</v>
      </c>
      <c r="B47" s="7" t="s">
        <v>474</v>
      </c>
      <c r="C47" s="7" t="s">
        <v>475</v>
      </c>
      <c r="D47" s="7" t="s">
        <v>476</v>
      </c>
      <c r="E47" s="7" t="s">
        <v>477</v>
      </c>
      <c r="F47" s="7" t="s">
        <v>25</v>
      </c>
      <c r="G47" s="7" t="s">
        <v>25</v>
      </c>
      <c r="H47" s="8">
        <v>3000</v>
      </c>
      <c r="I47" s="7"/>
      <c r="J47" s="7"/>
      <c r="K47" s="7"/>
      <c r="L47" s="8"/>
      <c r="M47" s="8"/>
      <c r="N47" s="7"/>
      <c r="O47" s="7"/>
      <c r="P47" s="7" t="s">
        <v>87</v>
      </c>
      <c r="Q47" s="9">
        <v>46097</v>
      </c>
      <c r="R47" s="7" t="s">
        <v>290</v>
      </c>
      <c r="S47" s="10" t="s">
        <v>478</v>
      </c>
    </row>
    <row r="48" spans="1:19" ht="81" x14ac:dyDescent="0.25">
      <c r="A48" s="17" t="s">
        <v>479</v>
      </c>
      <c r="B48" s="7" t="s">
        <v>480</v>
      </c>
      <c r="C48" s="7" t="s">
        <v>481</v>
      </c>
      <c r="D48" s="7" t="s">
        <v>482</v>
      </c>
      <c r="E48" s="7" t="s">
        <v>483</v>
      </c>
      <c r="F48" s="7" t="s">
        <v>308</v>
      </c>
      <c r="G48" s="7" t="s">
        <v>308</v>
      </c>
      <c r="H48" s="8">
        <v>750</v>
      </c>
      <c r="I48" s="7"/>
      <c r="J48" s="7"/>
      <c r="K48" s="7"/>
      <c r="L48" s="8"/>
      <c r="M48" s="8"/>
      <c r="N48" s="7"/>
      <c r="O48" s="7"/>
      <c r="P48" s="7" t="s">
        <v>87</v>
      </c>
      <c r="Q48" s="9">
        <v>46097</v>
      </c>
      <c r="R48" s="7" t="s">
        <v>290</v>
      </c>
      <c r="S48" s="10" t="s">
        <v>484</v>
      </c>
    </row>
    <row r="49" spans="1:19" ht="27" x14ac:dyDescent="0.25">
      <c r="A49" s="17" t="s">
        <v>485</v>
      </c>
      <c r="B49" s="7" t="s">
        <v>486</v>
      </c>
      <c r="C49" s="7" t="s">
        <v>487</v>
      </c>
      <c r="D49" s="7"/>
      <c r="E49" s="7"/>
      <c r="F49" s="7" t="s">
        <v>289</v>
      </c>
      <c r="G49" s="7" t="s">
        <v>289</v>
      </c>
      <c r="H49" s="8"/>
      <c r="I49" s="7"/>
      <c r="J49" s="7"/>
      <c r="K49" s="7"/>
      <c r="L49" s="8"/>
      <c r="M49" s="8"/>
      <c r="N49" s="7"/>
      <c r="O49" s="7"/>
      <c r="P49" s="7" t="s">
        <v>87</v>
      </c>
      <c r="Q49" s="9">
        <v>46182</v>
      </c>
      <c r="R49" s="7" t="s">
        <v>290</v>
      </c>
      <c r="S49" s="10" t="s">
        <v>488</v>
      </c>
    </row>
    <row r="50" spans="1:19" ht="27" x14ac:dyDescent="0.25">
      <c r="A50" s="58" t="s">
        <v>489</v>
      </c>
      <c r="B50" s="7" t="s">
        <v>490</v>
      </c>
      <c r="C50" s="7" t="s">
        <v>491</v>
      </c>
      <c r="D50" s="7"/>
      <c r="E50" s="7"/>
      <c r="F50" s="7" t="s">
        <v>289</v>
      </c>
      <c r="G50" s="7" t="s">
        <v>289</v>
      </c>
      <c r="H50" s="8"/>
      <c r="I50" s="7"/>
      <c r="J50" s="7"/>
      <c r="K50" s="7"/>
      <c r="L50" s="8"/>
      <c r="M50" s="8"/>
      <c r="N50" s="7"/>
      <c r="O50" s="7"/>
      <c r="P50" s="7" t="s">
        <v>87</v>
      </c>
      <c r="Q50" s="9">
        <v>46197</v>
      </c>
      <c r="R50" s="7" t="s">
        <v>290</v>
      </c>
      <c r="S50" s="10" t="s">
        <v>492</v>
      </c>
    </row>
    <row r="51" spans="1:19" ht="81" x14ac:dyDescent="0.25">
      <c r="A51" s="17" t="s">
        <v>493</v>
      </c>
      <c r="B51" s="7" t="s">
        <v>494</v>
      </c>
      <c r="C51" s="7" t="s">
        <v>481</v>
      </c>
      <c r="D51" s="7" t="s">
        <v>495</v>
      </c>
      <c r="E51" s="7" t="s">
        <v>496</v>
      </c>
      <c r="F51" s="7" t="s">
        <v>308</v>
      </c>
      <c r="G51" s="7" t="s">
        <v>308</v>
      </c>
      <c r="H51" s="8">
        <v>750</v>
      </c>
      <c r="I51" s="7"/>
      <c r="J51" s="7"/>
      <c r="K51" s="7"/>
      <c r="L51" s="8"/>
      <c r="M51" s="8"/>
      <c r="N51" s="7"/>
      <c r="O51" s="7"/>
      <c r="P51" s="7" t="s">
        <v>87</v>
      </c>
      <c r="Q51" s="9">
        <v>46097</v>
      </c>
      <c r="R51" s="7" t="s">
        <v>290</v>
      </c>
      <c r="S51" s="10" t="s">
        <v>497</v>
      </c>
    </row>
    <row r="52" spans="1:19" ht="81" x14ac:dyDescent="0.25">
      <c r="A52" s="17" t="s">
        <v>498</v>
      </c>
      <c r="B52" s="7" t="s">
        <v>499</v>
      </c>
      <c r="C52" s="7" t="s">
        <v>500</v>
      </c>
      <c r="D52" s="7" t="s">
        <v>501</v>
      </c>
      <c r="E52" s="7" t="s">
        <v>502</v>
      </c>
      <c r="F52" s="7" t="s">
        <v>25</v>
      </c>
      <c r="G52" s="7" t="s">
        <v>25</v>
      </c>
      <c r="H52" s="8">
        <v>125</v>
      </c>
      <c r="I52" s="7"/>
      <c r="J52" s="7"/>
      <c r="K52" s="7"/>
      <c r="L52" s="8"/>
      <c r="M52" s="8"/>
      <c r="N52" s="7"/>
      <c r="O52" s="7"/>
      <c r="P52" s="7" t="s">
        <v>87</v>
      </c>
      <c r="Q52" s="9">
        <v>46094</v>
      </c>
      <c r="R52" s="7" t="s">
        <v>290</v>
      </c>
      <c r="S52" s="10" t="s">
        <v>503</v>
      </c>
    </row>
    <row r="53" spans="1:19" ht="81" x14ac:dyDescent="0.25">
      <c r="A53" s="17" t="s">
        <v>504</v>
      </c>
      <c r="B53" s="7" t="s">
        <v>505</v>
      </c>
      <c r="C53" s="7" t="s">
        <v>500</v>
      </c>
      <c r="D53" s="7" t="s">
        <v>506</v>
      </c>
      <c r="E53" s="7" t="s">
        <v>507</v>
      </c>
      <c r="F53" s="7" t="s">
        <v>25</v>
      </c>
      <c r="G53" s="7" t="s">
        <v>25</v>
      </c>
      <c r="H53" s="8">
        <v>1360</v>
      </c>
      <c r="I53" s="7"/>
      <c r="J53" s="7"/>
      <c r="K53" s="7"/>
      <c r="L53" s="8"/>
      <c r="M53" s="8"/>
      <c r="N53" s="7"/>
      <c r="O53" s="7"/>
      <c r="P53" s="7" t="s">
        <v>87</v>
      </c>
      <c r="Q53" s="9">
        <v>46178</v>
      </c>
      <c r="R53" s="7" t="s">
        <v>290</v>
      </c>
      <c r="S53" s="10" t="s">
        <v>508</v>
      </c>
    </row>
    <row r="54" spans="1:19" ht="81" x14ac:dyDescent="0.25">
      <c r="A54" s="17" t="s">
        <v>509</v>
      </c>
      <c r="B54" s="7" t="s">
        <v>510</v>
      </c>
      <c r="C54" s="7" t="s">
        <v>511</v>
      </c>
      <c r="D54" s="7" t="s">
        <v>512</v>
      </c>
      <c r="E54" s="7" t="s">
        <v>513</v>
      </c>
      <c r="F54" s="7" t="s">
        <v>25</v>
      </c>
      <c r="G54" s="7" t="s">
        <v>25</v>
      </c>
      <c r="H54" s="8">
        <v>5000</v>
      </c>
      <c r="I54" s="7"/>
      <c r="J54" s="7"/>
      <c r="K54" s="7"/>
      <c r="L54" s="8"/>
      <c r="M54" s="8"/>
      <c r="N54" s="7"/>
      <c r="O54" s="7"/>
      <c r="P54" s="7" t="s">
        <v>87</v>
      </c>
      <c r="Q54" s="9">
        <v>46097</v>
      </c>
      <c r="R54" s="7" t="s">
        <v>290</v>
      </c>
      <c r="S54" s="10" t="s">
        <v>514</v>
      </c>
    </row>
    <row r="55" spans="1:19" ht="81" x14ac:dyDescent="0.25">
      <c r="A55" s="17" t="s">
        <v>515</v>
      </c>
      <c r="B55" s="7" t="s">
        <v>516</v>
      </c>
      <c r="C55" s="7" t="s">
        <v>342</v>
      </c>
      <c r="D55" s="7" t="s">
        <v>517</v>
      </c>
      <c r="E55" s="7" t="s">
        <v>518</v>
      </c>
      <c r="F55" s="7" t="s">
        <v>289</v>
      </c>
      <c r="G55" s="7" t="s">
        <v>289</v>
      </c>
      <c r="H55" s="8">
        <v>60</v>
      </c>
      <c r="I55" s="7"/>
      <c r="J55" s="7"/>
      <c r="K55" s="7"/>
      <c r="L55" s="8"/>
      <c r="M55" s="8"/>
      <c r="N55" s="7"/>
      <c r="O55" s="7"/>
      <c r="P55" s="7" t="s">
        <v>87</v>
      </c>
      <c r="Q55" s="9">
        <v>46172</v>
      </c>
      <c r="R55" s="7" t="s">
        <v>290</v>
      </c>
      <c r="S55" s="10" t="s">
        <v>519</v>
      </c>
    </row>
    <row r="56" spans="1:19" ht="81" x14ac:dyDescent="0.25">
      <c r="A56" s="17" t="s">
        <v>520</v>
      </c>
      <c r="B56" s="7" t="s">
        <v>521</v>
      </c>
      <c r="C56" s="7" t="s">
        <v>455</v>
      </c>
      <c r="D56" s="7" t="s">
        <v>522</v>
      </c>
      <c r="E56" s="7" t="s">
        <v>523</v>
      </c>
      <c r="F56" s="7" t="s">
        <v>25</v>
      </c>
      <c r="G56" s="7" t="s">
        <v>25</v>
      </c>
      <c r="H56" s="8">
        <v>500</v>
      </c>
      <c r="I56" s="7"/>
      <c r="J56" s="7"/>
      <c r="K56" s="7"/>
      <c r="L56" s="8"/>
      <c r="M56" s="8"/>
      <c r="N56" s="7"/>
      <c r="O56" s="7"/>
      <c r="P56" s="7" t="s">
        <v>87</v>
      </c>
      <c r="Q56" s="9">
        <v>46095</v>
      </c>
      <c r="R56" s="7" t="s">
        <v>290</v>
      </c>
      <c r="S56" s="10" t="s">
        <v>524</v>
      </c>
    </row>
    <row r="57" spans="1:19" ht="67.5" x14ac:dyDescent="0.25">
      <c r="A57" s="17" t="s">
        <v>525</v>
      </c>
      <c r="B57" s="7" t="s">
        <v>526</v>
      </c>
      <c r="C57" s="7" t="s">
        <v>411</v>
      </c>
      <c r="D57" s="7" t="s">
        <v>527</v>
      </c>
      <c r="E57" s="7" t="s">
        <v>528</v>
      </c>
      <c r="F57" s="7" t="s">
        <v>25</v>
      </c>
      <c r="G57" s="7" t="s">
        <v>25</v>
      </c>
      <c r="H57" s="8">
        <v>1</v>
      </c>
      <c r="I57" s="7"/>
      <c r="J57" s="7"/>
      <c r="K57" s="7"/>
      <c r="L57" s="8"/>
      <c r="M57" s="8"/>
      <c r="N57" s="7"/>
      <c r="O57" s="7"/>
      <c r="P57" s="7" t="s">
        <v>87</v>
      </c>
      <c r="Q57" s="9">
        <v>46172</v>
      </c>
      <c r="R57" s="7" t="s">
        <v>290</v>
      </c>
      <c r="S57" s="10" t="s">
        <v>529</v>
      </c>
    </row>
    <row r="58" spans="1:19" ht="27" x14ac:dyDescent="0.25">
      <c r="A58" s="17" t="s">
        <v>530</v>
      </c>
      <c r="B58" s="7" t="s">
        <v>531</v>
      </c>
      <c r="C58" s="7" t="s">
        <v>348</v>
      </c>
      <c r="D58" s="7"/>
      <c r="E58" s="7"/>
      <c r="F58" s="7" t="s">
        <v>289</v>
      </c>
      <c r="G58" s="7" t="s">
        <v>289</v>
      </c>
      <c r="H58" s="8"/>
      <c r="I58" s="7"/>
      <c r="J58" s="7"/>
      <c r="K58" s="7"/>
      <c r="L58" s="8"/>
      <c r="M58" s="8"/>
      <c r="N58" s="7"/>
      <c r="O58" s="7"/>
      <c r="P58" s="7" t="s">
        <v>87</v>
      </c>
      <c r="Q58" s="9">
        <v>46220</v>
      </c>
      <c r="R58" s="7" t="s">
        <v>290</v>
      </c>
      <c r="S58" s="10" t="s">
        <v>532</v>
      </c>
    </row>
    <row r="59" spans="1:19" ht="67.5" x14ac:dyDescent="0.25">
      <c r="A59" s="17" t="s">
        <v>533</v>
      </c>
      <c r="B59" s="7" t="s">
        <v>534</v>
      </c>
      <c r="C59" s="7" t="s">
        <v>411</v>
      </c>
      <c r="D59" s="7" t="s">
        <v>535</v>
      </c>
      <c r="E59" s="7" t="s">
        <v>528</v>
      </c>
      <c r="F59" s="7" t="s">
        <v>25</v>
      </c>
      <c r="G59" s="7" t="s">
        <v>25</v>
      </c>
      <c r="H59" s="8">
        <v>1</v>
      </c>
      <c r="I59" s="7"/>
      <c r="J59" s="7"/>
      <c r="K59" s="7"/>
      <c r="L59" s="8"/>
      <c r="M59" s="8"/>
      <c r="N59" s="7"/>
      <c r="O59" s="7"/>
      <c r="P59" s="7" t="s">
        <v>87</v>
      </c>
      <c r="Q59" s="9">
        <v>46172</v>
      </c>
      <c r="R59" s="7" t="s">
        <v>290</v>
      </c>
      <c r="S59" s="10" t="s">
        <v>536</v>
      </c>
    </row>
    <row r="60" spans="1:19" ht="81" x14ac:dyDescent="0.25">
      <c r="A60" s="17" t="s">
        <v>537</v>
      </c>
      <c r="B60" s="7" t="s">
        <v>538</v>
      </c>
      <c r="C60" s="7" t="s">
        <v>539</v>
      </c>
      <c r="D60" s="7" t="s">
        <v>540</v>
      </c>
      <c r="E60" s="7" t="s">
        <v>24</v>
      </c>
      <c r="F60" s="7" t="s">
        <v>25</v>
      </c>
      <c r="G60" s="7" t="s">
        <v>24</v>
      </c>
      <c r="H60" s="8">
        <v>1000</v>
      </c>
      <c r="I60" s="7"/>
      <c r="J60" s="7"/>
      <c r="K60" s="7"/>
      <c r="L60" s="8"/>
      <c r="M60" s="8"/>
      <c r="N60" s="7"/>
      <c r="O60" s="7"/>
      <c r="P60" s="7" t="s">
        <v>87</v>
      </c>
      <c r="Q60" s="9">
        <v>46072</v>
      </c>
      <c r="R60" s="7" t="s">
        <v>290</v>
      </c>
      <c r="S60" s="10" t="s">
        <v>541</v>
      </c>
    </row>
    <row r="61" spans="1:19" ht="81" x14ac:dyDescent="0.25">
      <c r="A61" s="17" t="s">
        <v>542</v>
      </c>
      <c r="B61" s="7" t="s">
        <v>543</v>
      </c>
      <c r="C61" s="7" t="s">
        <v>539</v>
      </c>
      <c r="D61" s="7" t="s">
        <v>544</v>
      </c>
      <c r="E61" s="7" t="s">
        <v>361</v>
      </c>
      <c r="F61" s="7" t="s">
        <v>25</v>
      </c>
      <c r="G61" s="7" t="s">
        <v>25</v>
      </c>
      <c r="H61" s="8">
        <v>1000</v>
      </c>
      <c r="I61" s="7"/>
      <c r="J61" s="7"/>
      <c r="K61" s="7"/>
      <c r="L61" s="8"/>
      <c r="M61" s="8"/>
      <c r="N61" s="7"/>
      <c r="O61" s="7"/>
      <c r="P61" s="7" t="s">
        <v>87</v>
      </c>
      <c r="Q61" s="9">
        <v>46079</v>
      </c>
      <c r="R61" s="7" t="s">
        <v>290</v>
      </c>
      <c r="S61" s="10" t="s">
        <v>545</v>
      </c>
    </row>
    <row r="62" spans="1:19" ht="67.5" x14ac:dyDescent="0.25">
      <c r="A62" s="17" t="s">
        <v>546</v>
      </c>
      <c r="B62" s="7" t="s">
        <v>547</v>
      </c>
      <c r="C62" s="7" t="s">
        <v>539</v>
      </c>
      <c r="D62" s="7" t="s">
        <v>548</v>
      </c>
      <c r="E62" s="7" t="s">
        <v>549</v>
      </c>
      <c r="F62" s="7" t="s">
        <v>25</v>
      </c>
      <c r="G62" s="7" t="s">
        <v>25</v>
      </c>
      <c r="H62" s="8">
        <v>250</v>
      </c>
      <c r="I62" s="7"/>
      <c r="J62" s="7"/>
      <c r="K62" s="7"/>
      <c r="L62" s="8"/>
      <c r="M62" s="8"/>
      <c r="N62" s="7"/>
      <c r="O62" s="7"/>
      <c r="P62" s="7" t="s">
        <v>87</v>
      </c>
      <c r="Q62" s="9">
        <v>46149</v>
      </c>
      <c r="R62" s="7" t="s">
        <v>290</v>
      </c>
      <c r="S62" s="10" t="s">
        <v>550</v>
      </c>
    </row>
    <row r="63" spans="1:19" ht="81" x14ac:dyDescent="0.25">
      <c r="A63" s="17" t="s">
        <v>551</v>
      </c>
      <c r="B63" s="7" t="s">
        <v>552</v>
      </c>
      <c r="C63" s="7" t="s">
        <v>539</v>
      </c>
      <c r="D63" s="7" t="s">
        <v>553</v>
      </c>
      <c r="E63" s="7" t="s">
        <v>361</v>
      </c>
      <c r="F63" s="7" t="s">
        <v>25</v>
      </c>
      <c r="G63" s="7" t="s">
        <v>25</v>
      </c>
      <c r="H63" s="8">
        <v>1000</v>
      </c>
      <c r="I63" s="7"/>
      <c r="J63" s="7"/>
      <c r="K63" s="7"/>
      <c r="L63" s="8"/>
      <c r="M63" s="8"/>
      <c r="N63" s="7"/>
      <c r="O63" s="7"/>
      <c r="P63" s="7" t="s">
        <v>87</v>
      </c>
      <c r="Q63" s="9">
        <v>46095</v>
      </c>
      <c r="R63" s="7" t="s">
        <v>290</v>
      </c>
      <c r="S63" s="10" t="s">
        <v>554</v>
      </c>
    </row>
    <row r="64" spans="1:19" ht="81" x14ac:dyDescent="0.25">
      <c r="A64" s="17" t="s">
        <v>555</v>
      </c>
      <c r="B64" s="7" t="s">
        <v>556</v>
      </c>
      <c r="C64" s="7" t="s">
        <v>539</v>
      </c>
      <c r="D64" s="7" t="s">
        <v>557</v>
      </c>
      <c r="E64" s="7" t="s">
        <v>558</v>
      </c>
      <c r="F64" s="7" t="s">
        <v>289</v>
      </c>
      <c r="G64" s="7" t="s">
        <v>289</v>
      </c>
      <c r="H64" s="8">
        <v>200</v>
      </c>
      <c r="I64" s="7"/>
      <c r="J64" s="7"/>
      <c r="K64" s="7"/>
      <c r="L64" s="8"/>
      <c r="M64" s="8"/>
      <c r="N64" s="7"/>
      <c r="O64" s="7"/>
      <c r="P64" s="7" t="s">
        <v>87</v>
      </c>
      <c r="Q64" s="9">
        <v>46094</v>
      </c>
      <c r="R64" s="7" t="s">
        <v>290</v>
      </c>
      <c r="S64" s="10" t="s">
        <v>559</v>
      </c>
    </row>
    <row r="65" spans="1:19" ht="27" x14ac:dyDescent="0.25">
      <c r="A65" s="17" t="s">
        <v>560</v>
      </c>
      <c r="B65" s="7" t="s">
        <v>561</v>
      </c>
      <c r="C65" s="7" t="s">
        <v>294</v>
      </c>
      <c r="D65" s="7"/>
      <c r="E65" s="7"/>
      <c r="F65" s="7" t="s">
        <v>289</v>
      </c>
      <c r="G65" s="7" t="s">
        <v>289</v>
      </c>
      <c r="H65" s="8"/>
      <c r="I65" s="7"/>
      <c r="J65" s="7"/>
      <c r="K65" s="7"/>
      <c r="L65" s="8"/>
      <c r="M65" s="8"/>
      <c r="N65" s="7"/>
      <c r="O65" s="7"/>
      <c r="P65" s="7" t="s">
        <v>87</v>
      </c>
      <c r="Q65" s="9">
        <v>46203</v>
      </c>
      <c r="R65" s="7" t="s">
        <v>290</v>
      </c>
      <c r="S65" s="10" t="s">
        <v>562</v>
      </c>
    </row>
    <row r="66" spans="1:19" ht="27" x14ac:dyDescent="0.25">
      <c r="A66" s="17" t="s">
        <v>563</v>
      </c>
      <c r="B66" s="7" t="s">
        <v>564</v>
      </c>
      <c r="C66" s="7" t="s">
        <v>294</v>
      </c>
      <c r="D66" s="7"/>
      <c r="E66" s="7"/>
      <c r="F66" s="7" t="s">
        <v>289</v>
      </c>
      <c r="G66" s="7" t="s">
        <v>289</v>
      </c>
      <c r="H66" s="8"/>
      <c r="I66" s="7"/>
      <c r="J66" s="7"/>
      <c r="K66" s="7"/>
      <c r="L66" s="8"/>
      <c r="M66" s="8"/>
      <c r="N66" s="7"/>
      <c r="O66" s="7"/>
      <c r="P66" s="7" t="s">
        <v>87</v>
      </c>
      <c r="Q66" s="9">
        <v>46203</v>
      </c>
      <c r="R66" s="7" t="s">
        <v>290</v>
      </c>
      <c r="S66" s="10" t="s">
        <v>565</v>
      </c>
    </row>
    <row r="67" spans="1:19" ht="27" x14ac:dyDescent="0.25">
      <c r="A67" s="17" t="s">
        <v>566</v>
      </c>
      <c r="B67" s="7" t="s">
        <v>567</v>
      </c>
      <c r="C67" s="7" t="s">
        <v>294</v>
      </c>
      <c r="D67" s="7"/>
      <c r="E67" s="7"/>
      <c r="F67" s="7" t="s">
        <v>289</v>
      </c>
      <c r="G67" s="7" t="s">
        <v>289</v>
      </c>
      <c r="H67" s="8"/>
      <c r="I67" s="7"/>
      <c r="J67" s="7"/>
      <c r="K67" s="7"/>
      <c r="L67" s="8"/>
      <c r="M67" s="8"/>
      <c r="N67" s="7"/>
      <c r="O67" s="7"/>
      <c r="P67" s="7" t="s">
        <v>87</v>
      </c>
      <c r="Q67" s="9">
        <v>46182</v>
      </c>
      <c r="R67" s="7" t="s">
        <v>290</v>
      </c>
      <c r="S67" s="10" t="s">
        <v>568</v>
      </c>
    </row>
    <row r="68" spans="1:19" ht="27" x14ac:dyDescent="0.25">
      <c r="A68" s="17" t="s">
        <v>569</v>
      </c>
      <c r="B68" s="7" t="s">
        <v>570</v>
      </c>
      <c r="C68" s="7" t="s">
        <v>294</v>
      </c>
      <c r="D68" s="7"/>
      <c r="E68" s="7"/>
      <c r="F68" s="7" t="s">
        <v>289</v>
      </c>
      <c r="G68" s="7" t="s">
        <v>289</v>
      </c>
      <c r="H68" s="8"/>
      <c r="I68" s="7"/>
      <c r="J68" s="7"/>
      <c r="K68" s="7"/>
      <c r="L68" s="8"/>
      <c r="M68" s="8"/>
      <c r="N68" s="7"/>
      <c r="O68" s="7"/>
      <c r="P68" s="7" t="s">
        <v>87</v>
      </c>
      <c r="Q68" s="9">
        <v>46182</v>
      </c>
      <c r="R68" s="7" t="s">
        <v>290</v>
      </c>
      <c r="S68" s="10" t="s">
        <v>571</v>
      </c>
    </row>
    <row r="69" spans="1:19" ht="27" x14ac:dyDescent="0.25">
      <c r="A69" s="17" t="s">
        <v>572</v>
      </c>
      <c r="B69" s="7" t="s">
        <v>573</v>
      </c>
      <c r="C69" s="7" t="s">
        <v>294</v>
      </c>
      <c r="D69" s="7"/>
      <c r="E69" s="7"/>
      <c r="F69" s="7" t="s">
        <v>289</v>
      </c>
      <c r="G69" s="7" t="s">
        <v>289</v>
      </c>
      <c r="H69" s="8"/>
      <c r="I69" s="7"/>
      <c r="J69" s="7"/>
      <c r="K69" s="7"/>
      <c r="L69" s="8"/>
      <c r="M69" s="8"/>
      <c r="N69" s="7"/>
      <c r="O69" s="7"/>
      <c r="P69" s="7" t="s">
        <v>87</v>
      </c>
      <c r="Q69" s="9">
        <v>46182</v>
      </c>
      <c r="R69" s="7" t="s">
        <v>290</v>
      </c>
      <c r="S69" s="10" t="s">
        <v>574</v>
      </c>
    </row>
    <row r="70" spans="1:19" ht="27" x14ac:dyDescent="0.25">
      <c r="A70" s="17" t="s">
        <v>575</v>
      </c>
      <c r="B70" s="7" t="s">
        <v>576</v>
      </c>
      <c r="C70" s="7" t="s">
        <v>294</v>
      </c>
      <c r="D70" s="7"/>
      <c r="E70" s="7"/>
      <c r="F70" s="7" t="s">
        <v>289</v>
      </c>
      <c r="G70" s="7" t="s">
        <v>289</v>
      </c>
      <c r="H70" s="8"/>
      <c r="I70" s="7"/>
      <c r="J70" s="7"/>
      <c r="K70" s="7"/>
      <c r="L70" s="8"/>
      <c r="M70" s="8"/>
      <c r="N70" s="7"/>
      <c r="O70" s="7"/>
      <c r="P70" s="7" t="s">
        <v>87</v>
      </c>
      <c r="Q70" s="9">
        <v>46182</v>
      </c>
      <c r="R70" s="7" t="s">
        <v>290</v>
      </c>
      <c r="S70" s="10" t="s">
        <v>577</v>
      </c>
    </row>
    <row r="71" spans="1:19" ht="27" x14ac:dyDescent="0.25">
      <c r="A71" s="17" t="s">
        <v>578</v>
      </c>
      <c r="B71" s="7" t="s">
        <v>579</v>
      </c>
      <c r="C71" s="7" t="s">
        <v>294</v>
      </c>
      <c r="D71" s="7"/>
      <c r="E71" s="7"/>
      <c r="F71" s="7" t="s">
        <v>289</v>
      </c>
      <c r="G71" s="7" t="s">
        <v>289</v>
      </c>
      <c r="H71" s="8"/>
      <c r="I71" s="7"/>
      <c r="J71" s="7"/>
      <c r="K71" s="7"/>
      <c r="L71" s="8"/>
      <c r="M71" s="8"/>
      <c r="N71" s="7"/>
      <c r="O71" s="7"/>
      <c r="P71" s="7" t="s">
        <v>87</v>
      </c>
      <c r="Q71" s="9">
        <v>46182</v>
      </c>
      <c r="R71" s="7" t="s">
        <v>290</v>
      </c>
      <c r="S71" s="10" t="s">
        <v>580</v>
      </c>
    </row>
    <row r="72" spans="1:19" ht="27" x14ac:dyDescent="0.25">
      <c r="A72" s="17" t="s">
        <v>581</v>
      </c>
      <c r="B72" s="7" t="s">
        <v>582</v>
      </c>
      <c r="C72" s="7" t="s">
        <v>294</v>
      </c>
      <c r="D72" s="7"/>
      <c r="E72" s="7"/>
      <c r="F72" s="7" t="s">
        <v>289</v>
      </c>
      <c r="G72" s="7" t="s">
        <v>289</v>
      </c>
      <c r="H72" s="8"/>
      <c r="I72" s="7"/>
      <c r="J72" s="7"/>
      <c r="K72" s="7"/>
      <c r="L72" s="8"/>
      <c r="M72" s="8"/>
      <c r="N72" s="7"/>
      <c r="O72" s="7"/>
      <c r="P72" s="7" t="s">
        <v>87</v>
      </c>
      <c r="Q72" s="9">
        <v>46203</v>
      </c>
      <c r="R72" s="7" t="s">
        <v>290</v>
      </c>
      <c r="S72" s="10" t="s">
        <v>583</v>
      </c>
    </row>
    <row r="73" spans="1:19" ht="81" x14ac:dyDescent="0.25">
      <c r="A73" s="17" t="s">
        <v>584</v>
      </c>
      <c r="B73" s="7" t="s">
        <v>585</v>
      </c>
      <c r="C73" s="7" t="s">
        <v>500</v>
      </c>
      <c r="D73" s="7" t="s">
        <v>586</v>
      </c>
      <c r="E73" s="7" t="s">
        <v>361</v>
      </c>
      <c r="F73" s="7" t="s">
        <v>25</v>
      </c>
      <c r="G73" s="7" t="s">
        <v>25</v>
      </c>
      <c r="H73" s="8">
        <v>1000</v>
      </c>
      <c r="I73" s="7"/>
      <c r="J73" s="7"/>
      <c r="K73" s="7"/>
      <c r="L73" s="8"/>
      <c r="M73" s="8"/>
      <c r="N73" s="7"/>
      <c r="O73" s="7"/>
      <c r="P73" s="7" t="s">
        <v>87</v>
      </c>
      <c r="Q73" s="9">
        <v>46076</v>
      </c>
      <c r="R73" s="7" t="s">
        <v>290</v>
      </c>
      <c r="S73" s="10" t="s">
        <v>587</v>
      </c>
    </row>
    <row r="74" spans="1:19" ht="81" x14ac:dyDescent="0.25">
      <c r="A74" s="17" t="s">
        <v>588</v>
      </c>
      <c r="B74" s="7" t="s">
        <v>589</v>
      </c>
      <c r="C74" s="7" t="s">
        <v>590</v>
      </c>
      <c r="D74" s="7" t="s">
        <v>591</v>
      </c>
      <c r="E74" s="7" t="s">
        <v>592</v>
      </c>
      <c r="F74" s="7" t="s">
        <v>289</v>
      </c>
      <c r="G74" s="7" t="s">
        <v>289</v>
      </c>
      <c r="H74" s="8">
        <v>50</v>
      </c>
      <c r="I74" s="7"/>
      <c r="J74" s="7"/>
      <c r="K74" s="7"/>
      <c r="L74" s="8"/>
      <c r="M74" s="8"/>
      <c r="N74" s="7"/>
      <c r="O74" s="7"/>
      <c r="P74" s="7" t="s">
        <v>87</v>
      </c>
      <c r="Q74" s="9">
        <v>46210</v>
      </c>
      <c r="R74" s="7" t="s">
        <v>290</v>
      </c>
      <c r="S74" s="10" t="s">
        <v>593</v>
      </c>
    </row>
    <row r="75" spans="1:19" ht="40.5" x14ac:dyDescent="0.25">
      <c r="A75" s="17" t="s">
        <v>594</v>
      </c>
      <c r="B75" s="7" t="s">
        <v>595</v>
      </c>
      <c r="C75" s="7" t="s">
        <v>596</v>
      </c>
      <c r="D75" s="7"/>
      <c r="E75" s="7"/>
      <c r="F75" s="7" t="s">
        <v>289</v>
      </c>
      <c r="G75" s="7" t="s">
        <v>289</v>
      </c>
      <c r="H75" s="8"/>
      <c r="I75" s="7"/>
      <c r="J75" s="7"/>
      <c r="K75" s="7"/>
      <c r="L75" s="8"/>
      <c r="M75" s="8"/>
      <c r="N75" s="7"/>
      <c r="O75" s="7"/>
      <c r="P75" s="7" t="s">
        <v>87</v>
      </c>
      <c r="Q75" s="9">
        <v>46192</v>
      </c>
      <c r="R75" s="7" t="s">
        <v>290</v>
      </c>
      <c r="S75" s="10" t="s">
        <v>597</v>
      </c>
    </row>
    <row r="76" spans="1:19" ht="81" x14ac:dyDescent="0.25">
      <c r="A76" s="17" t="s">
        <v>598</v>
      </c>
      <c r="B76" s="7" t="s">
        <v>599</v>
      </c>
      <c r="C76" s="7" t="s">
        <v>590</v>
      </c>
      <c r="D76" s="7" t="s">
        <v>600</v>
      </c>
      <c r="E76" s="7" t="s">
        <v>592</v>
      </c>
      <c r="F76" s="7" t="s">
        <v>289</v>
      </c>
      <c r="G76" s="7" t="s">
        <v>289</v>
      </c>
      <c r="H76" s="8">
        <v>50</v>
      </c>
      <c r="I76" s="7"/>
      <c r="J76" s="7"/>
      <c r="K76" s="7"/>
      <c r="L76" s="8"/>
      <c r="M76" s="8"/>
      <c r="N76" s="7"/>
      <c r="O76" s="7"/>
      <c r="P76" s="7" t="s">
        <v>87</v>
      </c>
      <c r="Q76" s="9">
        <v>46210</v>
      </c>
      <c r="R76" s="7" t="s">
        <v>290</v>
      </c>
      <c r="S76" s="10" t="s">
        <v>601</v>
      </c>
    </row>
    <row r="77" spans="1:19" ht="40.5" x14ac:dyDescent="0.25">
      <c r="A77" s="17" t="s">
        <v>602</v>
      </c>
      <c r="B77" s="7" t="s">
        <v>603</v>
      </c>
      <c r="C77" s="7" t="s">
        <v>604</v>
      </c>
      <c r="D77" s="7"/>
      <c r="E77" s="7"/>
      <c r="F77" s="7" t="s">
        <v>289</v>
      </c>
      <c r="G77" s="7" t="s">
        <v>289</v>
      </c>
      <c r="H77" s="8"/>
      <c r="I77" s="7"/>
      <c r="J77" s="7"/>
      <c r="K77" s="7"/>
      <c r="L77" s="8"/>
      <c r="M77" s="8"/>
      <c r="N77" s="7"/>
      <c r="O77" s="7"/>
      <c r="P77" s="7" t="s">
        <v>87</v>
      </c>
      <c r="Q77" s="9">
        <v>46192</v>
      </c>
      <c r="R77" s="7" t="s">
        <v>290</v>
      </c>
      <c r="S77" s="10" t="s">
        <v>605</v>
      </c>
    </row>
    <row r="78" spans="1:19" ht="40.5" x14ac:dyDescent="0.25">
      <c r="A78" s="17" t="s">
        <v>606</v>
      </c>
      <c r="B78" s="7" t="s">
        <v>607</v>
      </c>
      <c r="C78" s="7" t="s">
        <v>604</v>
      </c>
      <c r="D78" s="7"/>
      <c r="E78" s="7"/>
      <c r="F78" s="7" t="s">
        <v>289</v>
      </c>
      <c r="G78" s="7" t="s">
        <v>289</v>
      </c>
      <c r="H78" s="8"/>
      <c r="I78" s="7"/>
      <c r="J78" s="7"/>
      <c r="K78" s="7"/>
      <c r="L78" s="8"/>
      <c r="M78" s="8"/>
      <c r="N78" s="7"/>
      <c r="O78" s="7"/>
      <c r="P78" s="7" t="s">
        <v>87</v>
      </c>
      <c r="Q78" s="9">
        <v>46192</v>
      </c>
      <c r="R78" s="7" t="s">
        <v>290</v>
      </c>
      <c r="S78" s="10" t="s">
        <v>608</v>
      </c>
    </row>
    <row r="79" spans="1:19" ht="81" x14ac:dyDescent="0.25">
      <c r="A79" s="17" t="s">
        <v>609</v>
      </c>
      <c r="B79" s="7" t="s">
        <v>610</v>
      </c>
      <c r="C79" s="7" t="s">
        <v>590</v>
      </c>
      <c r="D79" s="7" t="s">
        <v>611</v>
      </c>
      <c r="E79" s="7" t="s">
        <v>612</v>
      </c>
      <c r="F79" s="7" t="s">
        <v>289</v>
      </c>
      <c r="G79" s="7" t="s">
        <v>289</v>
      </c>
      <c r="H79" s="8">
        <v>100</v>
      </c>
      <c r="I79" s="7"/>
      <c r="J79" s="7"/>
      <c r="K79" s="7"/>
      <c r="L79" s="8"/>
      <c r="M79" s="8"/>
      <c r="N79" s="7"/>
      <c r="O79" s="7"/>
      <c r="P79" s="7" t="s">
        <v>87</v>
      </c>
      <c r="Q79" s="9">
        <v>46126</v>
      </c>
      <c r="R79" s="7" t="s">
        <v>290</v>
      </c>
      <c r="S79" s="10" t="s">
        <v>613</v>
      </c>
    </row>
    <row r="80" spans="1:19" ht="81" x14ac:dyDescent="0.25">
      <c r="A80" s="17" t="s">
        <v>614</v>
      </c>
      <c r="B80" s="7" t="s">
        <v>615</v>
      </c>
      <c r="C80" s="7" t="s">
        <v>590</v>
      </c>
      <c r="D80" s="7" t="s">
        <v>616</v>
      </c>
      <c r="E80" s="7" t="s">
        <v>612</v>
      </c>
      <c r="F80" s="7" t="s">
        <v>289</v>
      </c>
      <c r="G80" s="7" t="s">
        <v>289</v>
      </c>
      <c r="H80" s="8">
        <v>100</v>
      </c>
      <c r="I80" s="7"/>
      <c r="J80" s="7"/>
      <c r="K80" s="7"/>
      <c r="L80" s="8"/>
      <c r="M80" s="8"/>
      <c r="N80" s="7"/>
      <c r="O80" s="7"/>
      <c r="P80" s="7" t="s">
        <v>87</v>
      </c>
      <c r="Q80" s="9">
        <v>46126</v>
      </c>
      <c r="R80" s="7" t="s">
        <v>290</v>
      </c>
      <c r="S80" s="10" t="s">
        <v>617</v>
      </c>
    </row>
    <row r="81" spans="1:19" ht="40.5" x14ac:dyDescent="0.25">
      <c r="A81" s="17" t="s">
        <v>618</v>
      </c>
      <c r="B81" s="7" t="s">
        <v>619</v>
      </c>
      <c r="C81" s="7" t="s">
        <v>288</v>
      </c>
      <c r="D81" s="7"/>
      <c r="E81" s="7"/>
      <c r="F81" s="7" t="s">
        <v>289</v>
      </c>
      <c r="G81" s="7" t="s">
        <v>289</v>
      </c>
      <c r="H81" s="8"/>
      <c r="I81" s="7"/>
      <c r="J81" s="7"/>
      <c r="K81" s="7"/>
      <c r="L81" s="8"/>
      <c r="M81" s="8"/>
      <c r="N81" s="7"/>
      <c r="O81" s="7"/>
      <c r="P81" s="7" t="s">
        <v>87</v>
      </c>
      <c r="Q81" s="9">
        <v>46143</v>
      </c>
      <c r="R81" s="7" t="s">
        <v>290</v>
      </c>
      <c r="S81" s="10" t="s">
        <v>620</v>
      </c>
    </row>
    <row r="82" spans="1:19" ht="40.5" x14ac:dyDescent="0.25">
      <c r="A82" s="17" t="s">
        <v>621</v>
      </c>
      <c r="B82" s="7" t="s">
        <v>622</v>
      </c>
      <c r="C82" s="7" t="s">
        <v>288</v>
      </c>
      <c r="D82" s="7"/>
      <c r="E82" s="7"/>
      <c r="F82" s="7" t="s">
        <v>289</v>
      </c>
      <c r="G82" s="7" t="s">
        <v>289</v>
      </c>
      <c r="H82" s="8"/>
      <c r="I82" s="7"/>
      <c r="J82" s="7"/>
      <c r="K82" s="7"/>
      <c r="L82" s="8"/>
      <c r="M82" s="8"/>
      <c r="N82" s="7"/>
      <c r="O82" s="7"/>
      <c r="P82" s="7" t="s">
        <v>87</v>
      </c>
      <c r="Q82" s="9">
        <v>46144</v>
      </c>
      <c r="R82" s="7" t="s">
        <v>290</v>
      </c>
      <c r="S82" s="10" t="s">
        <v>623</v>
      </c>
    </row>
    <row r="83" spans="1:19" ht="40.5" x14ac:dyDescent="0.25">
      <c r="A83" s="17" t="s">
        <v>624</v>
      </c>
      <c r="B83" s="7" t="s">
        <v>625</v>
      </c>
      <c r="C83" s="7" t="s">
        <v>288</v>
      </c>
      <c r="D83" s="7"/>
      <c r="E83" s="7"/>
      <c r="F83" s="7" t="s">
        <v>289</v>
      </c>
      <c r="G83" s="7" t="s">
        <v>289</v>
      </c>
      <c r="H83" s="8"/>
      <c r="I83" s="7"/>
      <c r="J83" s="7"/>
      <c r="K83" s="7"/>
      <c r="L83" s="8"/>
      <c r="M83" s="8"/>
      <c r="N83" s="7"/>
      <c r="O83" s="7"/>
      <c r="P83" s="7" t="s">
        <v>87</v>
      </c>
      <c r="Q83" s="9">
        <v>46143</v>
      </c>
      <c r="R83" s="7" t="s">
        <v>290</v>
      </c>
      <c r="S83" s="10" t="s">
        <v>626</v>
      </c>
    </row>
    <row r="84" spans="1:19" ht="67.5" x14ac:dyDescent="0.25">
      <c r="A84" s="17" t="s">
        <v>627</v>
      </c>
      <c r="B84" s="7" t="s">
        <v>628</v>
      </c>
      <c r="C84" s="7" t="s">
        <v>298</v>
      </c>
      <c r="D84" s="7" t="s">
        <v>629</v>
      </c>
      <c r="E84" s="7" t="s">
        <v>300</v>
      </c>
      <c r="F84" s="7" t="s">
        <v>24</v>
      </c>
      <c r="G84" s="7" t="s">
        <v>24</v>
      </c>
      <c r="H84" s="8">
        <v>1</v>
      </c>
      <c r="I84" s="7"/>
      <c r="J84" s="7"/>
      <c r="K84" s="7"/>
      <c r="L84" s="8"/>
      <c r="M84" s="8"/>
      <c r="N84" s="7"/>
      <c r="O84" s="7"/>
      <c r="P84" s="7" t="s">
        <v>87</v>
      </c>
      <c r="Q84" s="9">
        <v>46076</v>
      </c>
      <c r="R84" s="7" t="s">
        <v>290</v>
      </c>
      <c r="S84" s="10" t="s">
        <v>630</v>
      </c>
    </row>
    <row r="85" spans="1:19" ht="81" x14ac:dyDescent="0.25">
      <c r="A85" s="17" t="s">
        <v>631</v>
      </c>
      <c r="B85" s="7" t="s">
        <v>632</v>
      </c>
      <c r="C85" s="7" t="s">
        <v>590</v>
      </c>
      <c r="D85" s="7" t="s">
        <v>633</v>
      </c>
      <c r="E85" s="7" t="s">
        <v>634</v>
      </c>
      <c r="F85" s="7" t="s">
        <v>289</v>
      </c>
      <c r="G85" s="7" t="s">
        <v>289</v>
      </c>
      <c r="H85" s="8">
        <v>50</v>
      </c>
      <c r="I85" s="7"/>
      <c r="J85" s="7"/>
      <c r="K85" s="7"/>
      <c r="L85" s="8"/>
      <c r="M85" s="8"/>
      <c r="N85" s="7"/>
      <c r="O85" s="7"/>
      <c r="P85" s="7" t="s">
        <v>87</v>
      </c>
      <c r="Q85" s="9">
        <v>46097</v>
      </c>
      <c r="R85" s="7" t="s">
        <v>290</v>
      </c>
      <c r="S85" s="10" t="s">
        <v>635</v>
      </c>
    </row>
    <row r="86" spans="1:19" ht="81" x14ac:dyDescent="0.25">
      <c r="A86" s="17" t="s">
        <v>636</v>
      </c>
      <c r="B86" s="7" t="s">
        <v>637</v>
      </c>
      <c r="C86" s="7" t="s">
        <v>590</v>
      </c>
      <c r="D86" s="7" t="s">
        <v>638</v>
      </c>
      <c r="E86" s="7" t="s">
        <v>467</v>
      </c>
      <c r="F86" s="7" t="s">
        <v>289</v>
      </c>
      <c r="G86" s="7" t="s">
        <v>289</v>
      </c>
      <c r="H86" s="8">
        <v>50</v>
      </c>
      <c r="I86" s="7"/>
      <c r="J86" s="7"/>
      <c r="K86" s="7"/>
      <c r="L86" s="8"/>
      <c r="M86" s="8"/>
      <c r="N86" s="7"/>
      <c r="O86" s="7"/>
      <c r="P86" s="7" t="s">
        <v>87</v>
      </c>
      <c r="Q86" s="9">
        <v>46097</v>
      </c>
      <c r="R86" s="7" t="s">
        <v>290</v>
      </c>
      <c r="S86" s="10" t="s">
        <v>639</v>
      </c>
    </row>
    <row r="87" spans="1:19" ht="81" x14ac:dyDescent="0.25">
      <c r="A87" s="17" t="s">
        <v>640</v>
      </c>
      <c r="B87" s="7" t="s">
        <v>641</v>
      </c>
      <c r="C87" s="7" t="s">
        <v>475</v>
      </c>
      <c r="D87" s="7" t="s">
        <v>642</v>
      </c>
      <c r="E87" s="7" t="s">
        <v>643</v>
      </c>
      <c r="F87" s="7" t="s">
        <v>25</v>
      </c>
      <c r="G87" s="7" t="s">
        <v>25</v>
      </c>
      <c r="H87" s="8">
        <v>3000</v>
      </c>
      <c r="I87" s="7"/>
      <c r="J87" s="7"/>
      <c r="K87" s="7"/>
      <c r="L87" s="8"/>
      <c r="M87" s="8"/>
      <c r="N87" s="7"/>
      <c r="O87" s="7"/>
      <c r="P87" s="7" t="s">
        <v>87</v>
      </c>
      <c r="Q87" s="9">
        <v>46097</v>
      </c>
      <c r="R87" s="7" t="s">
        <v>290</v>
      </c>
      <c r="S87" s="10" t="s">
        <v>644</v>
      </c>
    </row>
    <row r="88" spans="1:19" ht="40.5" x14ac:dyDescent="0.25">
      <c r="A88" s="17" t="s">
        <v>645</v>
      </c>
      <c r="B88" s="7" t="s">
        <v>646</v>
      </c>
      <c r="C88" s="7" t="s">
        <v>596</v>
      </c>
      <c r="D88" s="7"/>
      <c r="E88" s="7"/>
      <c r="F88" s="7" t="s">
        <v>289</v>
      </c>
      <c r="G88" s="7" t="s">
        <v>289</v>
      </c>
      <c r="H88" s="8"/>
      <c r="I88" s="7"/>
      <c r="J88" s="7"/>
      <c r="K88" s="7"/>
      <c r="L88" s="8"/>
      <c r="M88" s="8"/>
      <c r="N88" s="7"/>
      <c r="O88" s="7"/>
      <c r="P88" s="7" t="s">
        <v>87</v>
      </c>
      <c r="Q88" s="9">
        <v>46212</v>
      </c>
      <c r="R88" s="7" t="s">
        <v>290</v>
      </c>
      <c r="S88" s="10" t="s">
        <v>647</v>
      </c>
    </row>
    <row r="89" spans="1:19" ht="81" x14ac:dyDescent="0.25">
      <c r="A89" s="17" t="s">
        <v>648</v>
      </c>
      <c r="B89" s="7" t="s">
        <v>649</v>
      </c>
      <c r="C89" s="7" t="s">
        <v>590</v>
      </c>
      <c r="D89" s="7" t="s">
        <v>650</v>
      </c>
      <c r="E89" s="7" t="s">
        <v>651</v>
      </c>
      <c r="F89" s="7" t="s">
        <v>289</v>
      </c>
      <c r="G89" s="7" t="s">
        <v>289</v>
      </c>
      <c r="H89" s="8">
        <v>25</v>
      </c>
      <c r="I89" s="7"/>
      <c r="J89" s="7"/>
      <c r="K89" s="7"/>
      <c r="L89" s="8"/>
      <c r="M89" s="8"/>
      <c r="N89" s="7"/>
      <c r="O89" s="7"/>
      <c r="P89" s="7" t="s">
        <v>87</v>
      </c>
      <c r="Q89" s="9">
        <v>46097</v>
      </c>
      <c r="R89" s="7" t="s">
        <v>290</v>
      </c>
      <c r="S89" s="10" t="s">
        <v>652</v>
      </c>
    </row>
    <row r="90" spans="1:19" ht="67.5" x14ac:dyDescent="0.25">
      <c r="A90" s="17" t="s">
        <v>653</v>
      </c>
      <c r="B90" s="7" t="s">
        <v>654</v>
      </c>
      <c r="C90" s="7" t="s">
        <v>655</v>
      </c>
      <c r="D90" s="7" t="s">
        <v>656</v>
      </c>
      <c r="E90" s="7" t="s">
        <v>300</v>
      </c>
      <c r="F90" s="7" t="s">
        <v>24</v>
      </c>
      <c r="G90" s="7" t="s">
        <v>24</v>
      </c>
      <c r="H90" s="8">
        <v>1</v>
      </c>
      <c r="I90" s="7"/>
      <c r="J90" s="7"/>
      <c r="K90" s="7"/>
      <c r="L90" s="8"/>
      <c r="M90" s="8"/>
      <c r="N90" s="7"/>
      <c r="O90" s="7"/>
      <c r="P90" s="7" t="s">
        <v>87</v>
      </c>
      <c r="Q90" s="9">
        <v>46073</v>
      </c>
      <c r="R90" s="7" t="s">
        <v>290</v>
      </c>
      <c r="S90" s="10" t="s">
        <v>657</v>
      </c>
    </row>
    <row r="91" spans="1:19" ht="81" x14ac:dyDescent="0.25">
      <c r="A91" s="17" t="s">
        <v>658</v>
      </c>
      <c r="B91" s="7" t="s">
        <v>659</v>
      </c>
      <c r="C91" s="7" t="s">
        <v>511</v>
      </c>
      <c r="D91" s="7" t="s">
        <v>660</v>
      </c>
      <c r="E91" s="7" t="s">
        <v>661</v>
      </c>
      <c r="F91" s="7" t="s">
        <v>308</v>
      </c>
      <c r="G91" s="7" t="s">
        <v>308</v>
      </c>
      <c r="H91" s="8">
        <v>1000</v>
      </c>
      <c r="I91" s="7"/>
      <c r="J91" s="7"/>
      <c r="K91" s="7"/>
      <c r="L91" s="8"/>
      <c r="M91" s="8"/>
      <c r="N91" s="7"/>
      <c r="O91" s="7"/>
      <c r="P91" s="7" t="s">
        <v>87</v>
      </c>
      <c r="Q91" s="9">
        <v>46097</v>
      </c>
      <c r="R91" s="7" t="s">
        <v>290</v>
      </c>
      <c r="S91" s="10" t="s">
        <v>662</v>
      </c>
    </row>
    <row r="92" spans="1:19" ht="40.5" x14ac:dyDescent="0.25">
      <c r="A92" s="17" t="s">
        <v>663</v>
      </c>
      <c r="B92" s="7" t="s">
        <v>664</v>
      </c>
      <c r="C92" s="7" t="s">
        <v>288</v>
      </c>
      <c r="D92" s="7"/>
      <c r="E92" s="7"/>
      <c r="F92" s="7" t="s">
        <v>289</v>
      </c>
      <c r="G92" s="7" t="s">
        <v>289</v>
      </c>
      <c r="H92" s="8"/>
      <c r="I92" s="7"/>
      <c r="J92" s="7"/>
      <c r="K92" s="7"/>
      <c r="L92" s="8"/>
      <c r="M92" s="8"/>
      <c r="N92" s="7"/>
      <c r="O92" s="7"/>
      <c r="P92" s="7" t="s">
        <v>87</v>
      </c>
      <c r="Q92" s="9">
        <v>46136</v>
      </c>
      <c r="R92" s="7" t="s">
        <v>290</v>
      </c>
      <c r="S92" s="10" t="s">
        <v>665</v>
      </c>
    </row>
    <row r="93" spans="1:19" ht="40.5" x14ac:dyDescent="0.25">
      <c r="A93" s="17" t="s">
        <v>666</v>
      </c>
      <c r="B93" s="7" t="s">
        <v>667</v>
      </c>
      <c r="C93" s="7" t="s">
        <v>288</v>
      </c>
      <c r="D93" s="7"/>
      <c r="E93" s="7"/>
      <c r="F93" s="7" t="s">
        <v>289</v>
      </c>
      <c r="G93" s="7" t="s">
        <v>289</v>
      </c>
      <c r="H93" s="8"/>
      <c r="I93" s="7"/>
      <c r="J93" s="7"/>
      <c r="K93" s="7"/>
      <c r="L93" s="8"/>
      <c r="M93" s="8"/>
      <c r="N93" s="7"/>
      <c r="O93" s="7"/>
      <c r="P93" s="7" t="s">
        <v>87</v>
      </c>
      <c r="Q93" s="9">
        <v>46143</v>
      </c>
      <c r="R93" s="7" t="s">
        <v>290</v>
      </c>
      <c r="S93" s="10" t="s">
        <v>668</v>
      </c>
    </row>
    <row r="94" spans="1:19" ht="40.5" x14ac:dyDescent="0.25">
      <c r="A94" s="17" t="s">
        <v>669</v>
      </c>
      <c r="B94" s="7" t="s">
        <v>670</v>
      </c>
      <c r="C94" s="7" t="s">
        <v>288</v>
      </c>
      <c r="D94" s="7"/>
      <c r="E94" s="7"/>
      <c r="F94" s="7" t="s">
        <v>289</v>
      </c>
      <c r="G94" s="7" t="s">
        <v>289</v>
      </c>
      <c r="H94" s="8"/>
      <c r="I94" s="7"/>
      <c r="J94" s="7"/>
      <c r="K94" s="7"/>
      <c r="L94" s="8"/>
      <c r="M94" s="8"/>
      <c r="N94" s="7"/>
      <c r="O94" s="7"/>
      <c r="P94" s="7" t="s">
        <v>87</v>
      </c>
      <c r="Q94" s="9">
        <v>46143</v>
      </c>
      <c r="R94" s="7" t="s">
        <v>290</v>
      </c>
      <c r="S94" s="10" t="s">
        <v>671</v>
      </c>
    </row>
    <row r="95" spans="1:19" ht="40.5" x14ac:dyDescent="0.25">
      <c r="A95" s="17" t="s">
        <v>672</v>
      </c>
      <c r="B95" s="7" t="s">
        <v>673</v>
      </c>
      <c r="C95" s="7" t="s">
        <v>288</v>
      </c>
      <c r="D95" s="7"/>
      <c r="E95" s="7"/>
      <c r="F95" s="7" t="s">
        <v>289</v>
      </c>
      <c r="G95" s="7" t="s">
        <v>289</v>
      </c>
      <c r="H95" s="8"/>
      <c r="I95" s="7"/>
      <c r="J95" s="7"/>
      <c r="K95" s="7"/>
      <c r="L95" s="8"/>
      <c r="M95" s="8"/>
      <c r="N95" s="7"/>
      <c r="O95" s="7"/>
      <c r="P95" s="7" t="s">
        <v>87</v>
      </c>
      <c r="Q95" s="9">
        <v>46143</v>
      </c>
      <c r="R95" s="7" t="s">
        <v>290</v>
      </c>
      <c r="S95" s="10" t="s">
        <v>674</v>
      </c>
    </row>
    <row r="96" spans="1:19" ht="40.5" x14ac:dyDescent="0.25">
      <c r="A96" s="17" t="s">
        <v>675</v>
      </c>
      <c r="B96" s="7" t="s">
        <v>676</v>
      </c>
      <c r="C96" s="7" t="s">
        <v>288</v>
      </c>
      <c r="D96" s="7"/>
      <c r="E96" s="7"/>
      <c r="F96" s="7" t="s">
        <v>289</v>
      </c>
      <c r="G96" s="7" t="s">
        <v>289</v>
      </c>
      <c r="H96" s="8"/>
      <c r="I96" s="7"/>
      <c r="J96" s="7"/>
      <c r="K96" s="7"/>
      <c r="L96" s="8"/>
      <c r="M96" s="8"/>
      <c r="N96" s="7"/>
      <c r="O96" s="7"/>
      <c r="P96" s="7" t="s">
        <v>87</v>
      </c>
      <c r="Q96" s="9">
        <v>46143</v>
      </c>
      <c r="R96" s="7" t="s">
        <v>290</v>
      </c>
      <c r="S96" s="10" t="s">
        <v>677</v>
      </c>
    </row>
    <row r="97" spans="1:19" ht="27" x14ac:dyDescent="0.25">
      <c r="A97" s="17" t="s">
        <v>678</v>
      </c>
      <c r="B97" s="7" t="s">
        <v>679</v>
      </c>
      <c r="C97" s="7" t="s">
        <v>680</v>
      </c>
      <c r="D97" s="7"/>
      <c r="E97" s="7"/>
      <c r="F97" s="7" t="s">
        <v>289</v>
      </c>
      <c r="G97" s="7" t="s">
        <v>289</v>
      </c>
      <c r="H97" s="8"/>
      <c r="I97" s="7"/>
      <c r="J97" s="7"/>
      <c r="K97" s="7"/>
      <c r="L97" s="8"/>
      <c r="M97" s="8"/>
      <c r="N97" s="7"/>
      <c r="O97" s="7"/>
      <c r="P97" s="7" t="s">
        <v>87</v>
      </c>
      <c r="Q97" s="9">
        <v>46185</v>
      </c>
      <c r="R97" s="7" t="s">
        <v>290</v>
      </c>
      <c r="S97" s="10" t="s">
        <v>681</v>
      </c>
    </row>
    <row r="98" spans="1:19" ht="27" x14ac:dyDescent="0.25">
      <c r="A98" s="17" t="s">
        <v>682</v>
      </c>
      <c r="B98" s="7" t="s">
        <v>683</v>
      </c>
      <c r="C98" s="7" t="s">
        <v>338</v>
      </c>
      <c r="D98" s="7"/>
      <c r="E98" s="7"/>
      <c r="F98" s="7" t="s">
        <v>289</v>
      </c>
      <c r="G98" s="7" t="s">
        <v>289</v>
      </c>
      <c r="H98" s="8"/>
      <c r="I98" s="7"/>
      <c r="J98" s="7"/>
      <c r="K98" s="7"/>
      <c r="L98" s="8"/>
      <c r="M98" s="8"/>
      <c r="N98" s="7"/>
      <c r="O98" s="7"/>
      <c r="P98" s="7" t="s">
        <v>87</v>
      </c>
      <c r="Q98" s="9">
        <v>46185</v>
      </c>
      <c r="R98" s="7" t="s">
        <v>290</v>
      </c>
      <c r="S98" s="10" t="s">
        <v>684</v>
      </c>
    </row>
    <row r="99" spans="1:19" ht="67.5" x14ac:dyDescent="0.25">
      <c r="A99" s="17" t="s">
        <v>685</v>
      </c>
      <c r="B99" s="7" t="s">
        <v>686</v>
      </c>
      <c r="C99" s="7" t="s">
        <v>475</v>
      </c>
      <c r="D99" s="7" t="s">
        <v>687</v>
      </c>
      <c r="E99" s="7" t="s">
        <v>688</v>
      </c>
      <c r="F99" s="7" t="s">
        <v>25</v>
      </c>
      <c r="G99" s="7" t="s">
        <v>24</v>
      </c>
      <c r="H99" s="8">
        <v>1000</v>
      </c>
      <c r="I99" s="7"/>
      <c r="J99" s="7"/>
      <c r="K99" s="7"/>
      <c r="L99" s="8"/>
      <c r="M99" s="8"/>
      <c r="N99" s="7"/>
      <c r="O99" s="7"/>
      <c r="P99" s="7" t="s">
        <v>87</v>
      </c>
      <c r="Q99" s="9">
        <v>46172</v>
      </c>
      <c r="R99" s="7" t="s">
        <v>290</v>
      </c>
      <c r="S99" s="10" t="s">
        <v>689</v>
      </c>
    </row>
    <row r="100" spans="1:19" ht="27" x14ac:dyDescent="0.25">
      <c r="A100" s="17" t="s">
        <v>690</v>
      </c>
      <c r="B100" s="7" t="s">
        <v>691</v>
      </c>
      <c r="C100" s="7" t="s">
        <v>692</v>
      </c>
      <c r="D100" s="7"/>
      <c r="E100" s="7"/>
      <c r="F100" s="7" t="s">
        <v>289</v>
      </c>
      <c r="G100" s="7" t="s">
        <v>289</v>
      </c>
      <c r="H100" s="8"/>
      <c r="I100" s="7"/>
      <c r="J100" s="7"/>
      <c r="K100" s="7"/>
      <c r="L100" s="8"/>
      <c r="M100" s="8"/>
      <c r="N100" s="7"/>
      <c r="O100" s="7"/>
      <c r="P100" s="7" t="s">
        <v>87</v>
      </c>
      <c r="Q100" s="9">
        <v>46165</v>
      </c>
      <c r="R100" s="7" t="s">
        <v>290</v>
      </c>
      <c r="S100" s="10" t="s">
        <v>693</v>
      </c>
    </row>
    <row r="101" spans="1:19" ht="81" x14ac:dyDescent="0.25">
      <c r="A101" s="17" t="s">
        <v>694</v>
      </c>
      <c r="B101" s="7" t="s">
        <v>695</v>
      </c>
      <c r="C101" s="7" t="s">
        <v>539</v>
      </c>
      <c r="D101" s="7" t="s">
        <v>696</v>
      </c>
      <c r="E101" s="7" t="s">
        <v>697</v>
      </c>
      <c r="F101" s="7" t="s">
        <v>25</v>
      </c>
      <c r="G101" s="7" t="s">
        <v>25</v>
      </c>
      <c r="H101" s="8">
        <v>5000</v>
      </c>
      <c r="I101" s="7"/>
      <c r="J101" s="7"/>
      <c r="K101" s="7"/>
      <c r="L101" s="8"/>
      <c r="M101" s="8"/>
      <c r="N101" s="7"/>
      <c r="O101" s="7"/>
      <c r="P101" s="7" t="s">
        <v>87</v>
      </c>
      <c r="Q101" s="9">
        <v>46191</v>
      </c>
      <c r="R101" s="7" t="s">
        <v>290</v>
      </c>
      <c r="S101" s="10" t="s">
        <v>698</v>
      </c>
    </row>
    <row r="102" spans="1:19" ht="27" x14ac:dyDescent="0.25">
      <c r="A102" s="17" t="s">
        <v>699</v>
      </c>
      <c r="B102" s="7" t="s">
        <v>700</v>
      </c>
      <c r="C102" s="7" t="s">
        <v>701</v>
      </c>
      <c r="D102" s="7"/>
      <c r="E102" s="7"/>
      <c r="F102" s="7" t="s">
        <v>289</v>
      </c>
      <c r="G102" s="7" t="s">
        <v>289</v>
      </c>
      <c r="H102" s="8"/>
      <c r="I102" s="7"/>
      <c r="J102" s="7"/>
      <c r="K102" s="7"/>
      <c r="L102" s="8"/>
      <c r="M102" s="8"/>
      <c r="N102" s="7"/>
      <c r="O102" s="7"/>
      <c r="P102" s="7" t="s">
        <v>87</v>
      </c>
      <c r="Q102" s="9">
        <v>46197</v>
      </c>
      <c r="R102" s="7" t="s">
        <v>290</v>
      </c>
      <c r="S102" s="10" t="s">
        <v>702</v>
      </c>
    </row>
    <row r="103" spans="1:19" ht="27" x14ac:dyDescent="0.25">
      <c r="A103" s="17" t="s">
        <v>703</v>
      </c>
      <c r="B103" s="7" t="s">
        <v>704</v>
      </c>
      <c r="C103" s="7" t="s">
        <v>701</v>
      </c>
      <c r="D103" s="7"/>
      <c r="E103" s="7"/>
      <c r="F103" s="7" t="s">
        <v>289</v>
      </c>
      <c r="G103" s="7" t="s">
        <v>289</v>
      </c>
      <c r="H103" s="8"/>
      <c r="I103" s="7"/>
      <c r="J103" s="7"/>
      <c r="K103" s="7"/>
      <c r="L103" s="8"/>
      <c r="M103" s="8"/>
      <c r="N103" s="7"/>
      <c r="O103" s="7"/>
      <c r="P103" s="7" t="s">
        <v>87</v>
      </c>
      <c r="Q103" s="9">
        <v>46197</v>
      </c>
      <c r="R103" s="7" t="s">
        <v>290</v>
      </c>
      <c r="S103" s="10" t="s">
        <v>705</v>
      </c>
    </row>
    <row r="104" spans="1:19" ht="27" x14ac:dyDescent="0.25">
      <c r="A104" s="17" t="s">
        <v>706</v>
      </c>
      <c r="B104" s="7" t="s">
        <v>707</v>
      </c>
      <c r="C104" s="7" t="s">
        <v>701</v>
      </c>
      <c r="D104" s="7"/>
      <c r="E104" s="7"/>
      <c r="F104" s="7" t="s">
        <v>289</v>
      </c>
      <c r="G104" s="7" t="s">
        <v>289</v>
      </c>
      <c r="H104" s="8"/>
      <c r="I104" s="7"/>
      <c r="J104" s="7"/>
      <c r="K104" s="7"/>
      <c r="L104" s="8"/>
      <c r="M104" s="8"/>
      <c r="N104" s="7"/>
      <c r="O104" s="7"/>
      <c r="P104" s="7" t="s">
        <v>87</v>
      </c>
      <c r="Q104" s="9">
        <v>46197</v>
      </c>
      <c r="R104" s="7" t="s">
        <v>290</v>
      </c>
      <c r="S104" s="10" t="s">
        <v>708</v>
      </c>
    </row>
    <row r="105" spans="1:19" ht="27" x14ac:dyDescent="0.25">
      <c r="A105" s="17" t="s">
        <v>709</v>
      </c>
      <c r="B105" s="7" t="s">
        <v>710</v>
      </c>
      <c r="C105" s="7" t="s">
        <v>701</v>
      </c>
      <c r="D105" s="7"/>
      <c r="E105" s="7"/>
      <c r="F105" s="7" t="s">
        <v>289</v>
      </c>
      <c r="G105" s="7" t="s">
        <v>289</v>
      </c>
      <c r="H105" s="8"/>
      <c r="I105" s="7"/>
      <c r="J105" s="7"/>
      <c r="K105" s="7"/>
      <c r="L105" s="8"/>
      <c r="M105" s="8"/>
      <c r="N105" s="7"/>
      <c r="O105" s="7"/>
      <c r="P105" s="7" t="s">
        <v>87</v>
      </c>
      <c r="Q105" s="9">
        <v>46197</v>
      </c>
      <c r="R105" s="7" t="s">
        <v>290</v>
      </c>
      <c r="S105" s="10" t="s">
        <v>711</v>
      </c>
    </row>
    <row r="106" spans="1:19" ht="81" x14ac:dyDescent="0.25">
      <c r="A106" s="17" t="s">
        <v>712</v>
      </c>
      <c r="B106" s="7" t="s">
        <v>713</v>
      </c>
      <c r="C106" s="7" t="s">
        <v>714</v>
      </c>
      <c r="D106" s="7" t="s">
        <v>715</v>
      </c>
      <c r="E106" s="7" t="s">
        <v>612</v>
      </c>
      <c r="F106" s="7" t="s">
        <v>289</v>
      </c>
      <c r="G106" s="7" t="s">
        <v>289</v>
      </c>
      <c r="H106" s="8">
        <v>100</v>
      </c>
      <c r="I106" s="7"/>
      <c r="J106" s="7"/>
      <c r="K106" s="7"/>
      <c r="L106" s="8"/>
      <c r="M106" s="8"/>
      <c r="N106" s="7"/>
      <c r="O106" s="7"/>
      <c r="P106" s="7" t="s">
        <v>87</v>
      </c>
      <c r="Q106" s="9">
        <v>46147</v>
      </c>
      <c r="R106" s="7" t="s">
        <v>290</v>
      </c>
      <c r="S106" s="10" t="s">
        <v>716</v>
      </c>
    </row>
    <row r="107" spans="1:19" ht="81" x14ac:dyDescent="0.25">
      <c r="A107" s="17" t="s">
        <v>717</v>
      </c>
      <c r="B107" s="7" t="s">
        <v>718</v>
      </c>
      <c r="C107" s="7" t="s">
        <v>714</v>
      </c>
      <c r="D107" s="7" t="s">
        <v>719</v>
      </c>
      <c r="E107" s="7" t="s">
        <v>612</v>
      </c>
      <c r="F107" s="7" t="s">
        <v>289</v>
      </c>
      <c r="G107" s="7" t="s">
        <v>289</v>
      </c>
      <c r="H107" s="8">
        <v>100</v>
      </c>
      <c r="I107" s="7"/>
      <c r="J107" s="7"/>
      <c r="K107" s="7"/>
      <c r="L107" s="8"/>
      <c r="M107" s="8"/>
      <c r="N107" s="7"/>
      <c r="O107" s="7"/>
      <c r="P107" s="7" t="s">
        <v>87</v>
      </c>
      <c r="Q107" s="9">
        <v>46147</v>
      </c>
      <c r="R107" s="7" t="s">
        <v>290</v>
      </c>
      <c r="S107" s="10" t="s">
        <v>720</v>
      </c>
    </row>
    <row r="108" spans="1:19" ht="81" x14ac:dyDescent="0.25">
      <c r="A108" s="17" t="s">
        <v>721</v>
      </c>
      <c r="B108" s="7" t="s">
        <v>722</v>
      </c>
      <c r="C108" s="7" t="s">
        <v>723</v>
      </c>
      <c r="D108" s="7" t="s">
        <v>724</v>
      </c>
      <c r="E108" s="7" t="s">
        <v>439</v>
      </c>
      <c r="F108" s="7" t="s">
        <v>289</v>
      </c>
      <c r="G108" s="7" t="s">
        <v>289</v>
      </c>
      <c r="H108" s="8">
        <v>1</v>
      </c>
      <c r="I108" s="7"/>
      <c r="J108" s="7"/>
      <c r="K108" s="7"/>
      <c r="L108" s="8"/>
      <c r="M108" s="8"/>
      <c r="N108" s="7"/>
      <c r="O108" s="7"/>
      <c r="P108" s="7" t="s">
        <v>87</v>
      </c>
      <c r="Q108" s="9">
        <v>46126</v>
      </c>
      <c r="R108" s="7" t="s">
        <v>290</v>
      </c>
      <c r="S108" s="10" t="s">
        <v>725</v>
      </c>
    </row>
    <row r="109" spans="1:19" ht="81" x14ac:dyDescent="0.25">
      <c r="A109" s="17" t="s">
        <v>726</v>
      </c>
      <c r="B109" s="7" t="s">
        <v>727</v>
      </c>
      <c r="C109" s="7" t="s">
        <v>723</v>
      </c>
      <c r="D109" s="7" t="s">
        <v>728</v>
      </c>
      <c r="E109" s="7" t="s">
        <v>439</v>
      </c>
      <c r="F109" s="7" t="s">
        <v>289</v>
      </c>
      <c r="G109" s="7" t="s">
        <v>289</v>
      </c>
      <c r="H109" s="8">
        <v>1</v>
      </c>
      <c r="I109" s="7"/>
      <c r="J109" s="7"/>
      <c r="K109" s="7"/>
      <c r="L109" s="8"/>
      <c r="M109" s="8"/>
      <c r="N109" s="7"/>
      <c r="O109" s="7"/>
      <c r="P109" s="7" t="s">
        <v>87</v>
      </c>
      <c r="Q109" s="9">
        <v>46094</v>
      </c>
      <c r="R109" s="7" t="s">
        <v>290</v>
      </c>
      <c r="S109" s="10" t="s">
        <v>729</v>
      </c>
    </row>
    <row r="110" spans="1:19" ht="81" x14ac:dyDescent="0.25">
      <c r="A110" s="17" t="s">
        <v>730</v>
      </c>
      <c r="B110" s="7" t="s">
        <v>731</v>
      </c>
      <c r="C110" s="7" t="s">
        <v>714</v>
      </c>
      <c r="D110" s="7" t="s">
        <v>732</v>
      </c>
      <c r="E110" s="7" t="s">
        <v>733</v>
      </c>
      <c r="F110" s="7" t="s">
        <v>289</v>
      </c>
      <c r="G110" s="7" t="s">
        <v>289</v>
      </c>
      <c r="H110" s="8">
        <v>10</v>
      </c>
      <c r="I110" s="7"/>
      <c r="J110" s="7"/>
      <c r="K110" s="7"/>
      <c r="L110" s="8"/>
      <c r="M110" s="8"/>
      <c r="N110" s="7"/>
      <c r="O110" s="7"/>
      <c r="P110" s="7" t="s">
        <v>87</v>
      </c>
      <c r="Q110" s="9">
        <v>46094</v>
      </c>
      <c r="R110" s="7" t="s">
        <v>290</v>
      </c>
      <c r="S110" s="10" t="s">
        <v>734</v>
      </c>
    </row>
    <row r="111" spans="1:19" ht="54" x14ac:dyDescent="0.25">
      <c r="A111" s="17" t="s">
        <v>735</v>
      </c>
      <c r="B111" s="7" t="s">
        <v>736</v>
      </c>
      <c r="C111" s="7" t="s">
        <v>437</v>
      </c>
      <c r="D111" s="7" t="s">
        <v>737</v>
      </c>
      <c r="E111" s="7" t="s">
        <v>439</v>
      </c>
      <c r="F111" s="7" t="s">
        <v>289</v>
      </c>
      <c r="G111" s="7" t="s">
        <v>289</v>
      </c>
      <c r="H111" s="8">
        <v>1</v>
      </c>
      <c r="I111" s="7"/>
      <c r="J111" s="7"/>
      <c r="K111" s="7"/>
      <c r="L111" s="8"/>
      <c r="M111" s="8"/>
      <c r="N111" s="7"/>
      <c r="O111" s="7"/>
      <c r="P111" s="7" t="s">
        <v>87</v>
      </c>
      <c r="Q111" s="9">
        <v>46121</v>
      </c>
      <c r="R111" s="7" t="s">
        <v>290</v>
      </c>
      <c r="S111" s="10" t="s">
        <v>738</v>
      </c>
    </row>
    <row r="112" spans="1:19" ht="54" x14ac:dyDescent="0.25">
      <c r="A112" s="17" t="s">
        <v>739</v>
      </c>
      <c r="B112" s="7" t="s">
        <v>740</v>
      </c>
      <c r="C112" s="7" t="s">
        <v>294</v>
      </c>
      <c r="D112" s="7" t="s">
        <v>741</v>
      </c>
      <c r="E112" s="7" t="s">
        <v>439</v>
      </c>
      <c r="F112" s="7" t="s">
        <v>289</v>
      </c>
      <c r="G112" s="7" t="s">
        <v>289</v>
      </c>
      <c r="H112" s="8">
        <v>1</v>
      </c>
      <c r="I112" s="7"/>
      <c r="J112" s="7"/>
      <c r="K112" s="7"/>
      <c r="L112" s="8"/>
      <c r="M112" s="8"/>
      <c r="N112" s="7"/>
      <c r="O112" s="7"/>
      <c r="P112" s="7" t="s">
        <v>87</v>
      </c>
      <c r="Q112" s="9">
        <v>46121</v>
      </c>
      <c r="R112" s="7" t="s">
        <v>290</v>
      </c>
      <c r="S112" s="10" t="s">
        <v>742</v>
      </c>
    </row>
    <row r="113" spans="1:19" ht="81" x14ac:dyDescent="0.25">
      <c r="A113" s="17" t="s">
        <v>743</v>
      </c>
      <c r="B113" s="7" t="s">
        <v>744</v>
      </c>
      <c r="C113" s="7" t="s">
        <v>745</v>
      </c>
      <c r="D113" s="7" t="s">
        <v>746</v>
      </c>
      <c r="E113" s="7" t="s">
        <v>651</v>
      </c>
      <c r="F113" s="7" t="s">
        <v>289</v>
      </c>
      <c r="G113" s="7" t="s">
        <v>289</v>
      </c>
      <c r="H113" s="8">
        <v>200</v>
      </c>
      <c r="I113" s="7"/>
      <c r="J113" s="7"/>
      <c r="K113" s="7"/>
      <c r="L113" s="8"/>
      <c r="M113" s="8"/>
      <c r="N113" s="7"/>
      <c r="O113" s="7"/>
      <c r="P113" s="7" t="s">
        <v>87</v>
      </c>
      <c r="Q113" s="9">
        <v>46097</v>
      </c>
      <c r="R113" s="7" t="s">
        <v>290</v>
      </c>
      <c r="S113" s="10" t="s">
        <v>747</v>
      </c>
    </row>
    <row r="114" spans="1:19" ht="81" x14ac:dyDescent="0.25">
      <c r="A114" s="17" t="s">
        <v>748</v>
      </c>
      <c r="B114" s="7" t="s">
        <v>749</v>
      </c>
      <c r="C114" s="7" t="s">
        <v>745</v>
      </c>
      <c r="D114" s="7" t="s">
        <v>750</v>
      </c>
      <c r="E114" s="7" t="s">
        <v>651</v>
      </c>
      <c r="F114" s="7" t="s">
        <v>289</v>
      </c>
      <c r="G114" s="7" t="s">
        <v>289</v>
      </c>
      <c r="H114" s="8">
        <v>100</v>
      </c>
      <c r="I114" s="7"/>
      <c r="J114" s="7"/>
      <c r="K114" s="7"/>
      <c r="L114" s="8"/>
      <c r="M114" s="8"/>
      <c r="N114" s="7"/>
      <c r="O114" s="7"/>
      <c r="P114" s="7" t="s">
        <v>87</v>
      </c>
      <c r="Q114" s="9">
        <v>46097</v>
      </c>
      <c r="R114" s="7" t="s">
        <v>290</v>
      </c>
      <c r="S114" s="10" t="s">
        <v>751</v>
      </c>
    </row>
    <row r="115" spans="1:19" ht="81" x14ac:dyDescent="0.25">
      <c r="A115" s="17" t="s">
        <v>752</v>
      </c>
      <c r="B115" s="7" t="s">
        <v>753</v>
      </c>
      <c r="C115" s="7" t="s">
        <v>723</v>
      </c>
      <c r="D115" s="7" t="s">
        <v>754</v>
      </c>
      <c r="E115" s="7" t="s">
        <v>651</v>
      </c>
      <c r="F115" s="7" t="s">
        <v>289</v>
      </c>
      <c r="G115" s="7" t="s">
        <v>289</v>
      </c>
      <c r="H115" s="8">
        <v>100</v>
      </c>
      <c r="I115" s="7"/>
      <c r="J115" s="7"/>
      <c r="K115" s="7"/>
      <c r="L115" s="8"/>
      <c r="M115" s="8"/>
      <c r="N115" s="7"/>
      <c r="O115" s="7"/>
      <c r="P115" s="7" t="s">
        <v>87</v>
      </c>
      <c r="Q115" s="9">
        <v>46103</v>
      </c>
      <c r="R115" s="7" t="s">
        <v>290</v>
      </c>
      <c r="S115" s="10" t="s">
        <v>755</v>
      </c>
    </row>
    <row r="116" spans="1:19" ht="81" x14ac:dyDescent="0.25">
      <c r="A116" s="17" t="s">
        <v>756</v>
      </c>
      <c r="B116" s="7" t="s">
        <v>757</v>
      </c>
      <c r="C116" s="7" t="s">
        <v>723</v>
      </c>
      <c r="D116" s="7" t="s">
        <v>758</v>
      </c>
      <c r="E116" s="7" t="s">
        <v>651</v>
      </c>
      <c r="F116" s="7" t="s">
        <v>289</v>
      </c>
      <c r="G116" s="7" t="s">
        <v>289</v>
      </c>
      <c r="H116" s="8">
        <v>100</v>
      </c>
      <c r="I116" s="7"/>
      <c r="J116" s="7"/>
      <c r="K116" s="7"/>
      <c r="L116" s="8"/>
      <c r="M116" s="8"/>
      <c r="N116" s="7"/>
      <c r="O116" s="7"/>
      <c r="P116" s="7" t="s">
        <v>87</v>
      </c>
      <c r="Q116" s="9">
        <v>46103</v>
      </c>
      <c r="R116" s="7" t="s">
        <v>290</v>
      </c>
      <c r="S116" s="10" t="s">
        <v>759</v>
      </c>
    </row>
    <row r="117" spans="1:19" ht="54" x14ac:dyDescent="0.25">
      <c r="A117" s="17" t="s">
        <v>760</v>
      </c>
      <c r="B117" s="7" t="s">
        <v>761</v>
      </c>
      <c r="C117" s="7" t="s">
        <v>437</v>
      </c>
      <c r="D117" s="7" t="s">
        <v>762</v>
      </c>
      <c r="E117" s="7" t="s">
        <v>439</v>
      </c>
      <c r="F117" s="7" t="s">
        <v>289</v>
      </c>
      <c r="G117" s="7" t="s">
        <v>289</v>
      </c>
      <c r="H117" s="8">
        <v>1</v>
      </c>
      <c r="I117" s="7"/>
      <c r="J117" s="7"/>
      <c r="K117" s="7"/>
      <c r="L117" s="8"/>
      <c r="M117" s="8"/>
      <c r="N117" s="7"/>
      <c r="O117" s="7"/>
      <c r="P117" s="7" t="s">
        <v>87</v>
      </c>
      <c r="Q117" s="9">
        <v>46121</v>
      </c>
      <c r="R117" s="7" t="s">
        <v>290</v>
      </c>
      <c r="S117" s="10" t="s">
        <v>763</v>
      </c>
    </row>
    <row r="118" spans="1:19" ht="54" x14ac:dyDescent="0.25">
      <c r="A118" s="17" t="s">
        <v>764</v>
      </c>
      <c r="B118" s="7" t="s">
        <v>765</v>
      </c>
      <c r="C118" s="7" t="s">
        <v>437</v>
      </c>
      <c r="D118" s="7" t="s">
        <v>766</v>
      </c>
      <c r="E118" s="7" t="s">
        <v>439</v>
      </c>
      <c r="F118" s="7" t="s">
        <v>289</v>
      </c>
      <c r="G118" s="7" t="s">
        <v>289</v>
      </c>
      <c r="H118" s="8">
        <v>1</v>
      </c>
      <c r="I118" s="7"/>
      <c r="J118" s="7"/>
      <c r="K118" s="7"/>
      <c r="L118" s="8"/>
      <c r="M118" s="8"/>
      <c r="N118" s="7"/>
      <c r="O118" s="7"/>
      <c r="P118" s="7" t="s">
        <v>87</v>
      </c>
      <c r="Q118" s="9">
        <v>46121</v>
      </c>
      <c r="R118" s="7" t="s">
        <v>290</v>
      </c>
      <c r="S118" s="10" t="s">
        <v>767</v>
      </c>
    </row>
    <row r="119" spans="1:19" ht="54" x14ac:dyDescent="0.25">
      <c r="A119" s="17" t="s">
        <v>768</v>
      </c>
      <c r="B119" s="7" t="s">
        <v>769</v>
      </c>
      <c r="C119" s="7" t="s">
        <v>437</v>
      </c>
      <c r="D119" s="7" t="s">
        <v>770</v>
      </c>
      <c r="E119" s="7" t="s">
        <v>439</v>
      </c>
      <c r="F119" s="7" t="s">
        <v>289</v>
      </c>
      <c r="G119" s="7" t="s">
        <v>289</v>
      </c>
      <c r="H119" s="8">
        <v>1</v>
      </c>
      <c r="I119" s="7"/>
      <c r="J119" s="7"/>
      <c r="K119" s="7"/>
      <c r="L119" s="8"/>
      <c r="M119" s="8"/>
      <c r="N119" s="7"/>
      <c r="O119" s="7"/>
      <c r="P119" s="7" t="s">
        <v>87</v>
      </c>
      <c r="Q119" s="9">
        <v>46105</v>
      </c>
      <c r="R119" s="7" t="s">
        <v>290</v>
      </c>
      <c r="S119" s="10" t="s">
        <v>771</v>
      </c>
    </row>
    <row r="120" spans="1:19" ht="81" x14ac:dyDescent="0.25">
      <c r="A120" s="17" t="s">
        <v>772</v>
      </c>
      <c r="B120" s="7" t="s">
        <v>773</v>
      </c>
      <c r="C120" s="7" t="s">
        <v>774</v>
      </c>
      <c r="D120" s="7" t="s">
        <v>775</v>
      </c>
      <c r="E120" s="7" t="s">
        <v>776</v>
      </c>
      <c r="F120" s="7" t="s">
        <v>25</v>
      </c>
      <c r="G120" s="7" t="s">
        <v>24</v>
      </c>
      <c r="H120" s="8">
        <v>1000</v>
      </c>
      <c r="I120" s="7"/>
      <c r="J120" s="7"/>
      <c r="K120" s="7"/>
      <c r="L120" s="8"/>
      <c r="M120" s="8"/>
      <c r="N120" s="7"/>
      <c r="O120" s="7"/>
      <c r="P120" s="7" t="s">
        <v>87</v>
      </c>
      <c r="Q120" s="9">
        <v>46106</v>
      </c>
      <c r="R120" s="7" t="s">
        <v>290</v>
      </c>
      <c r="S120" s="10" t="s">
        <v>777</v>
      </c>
    </row>
    <row r="121" spans="1:19" ht="27" x14ac:dyDescent="0.25">
      <c r="A121" s="17" t="s">
        <v>778</v>
      </c>
      <c r="B121" s="7" t="s">
        <v>779</v>
      </c>
      <c r="C121" s="7" t="s">
        <v>692</v>
      </c>
      <c r="D121" s="7"/>
      <c r="E121" s="7"/>
      <c r="F121" s="7" t="s">
        <v>289</v>
      </c>
      <c r="G121" s="7" t="s">
        <v>289</v>
      </c>
      <c r="H121" s="8"/>
      <c r="I121" s="7"/>
      <c r="J121" s="7"/>
      <c r="K121" s="7"/>
      <c r="L121" s="8"/>
      <c r="M121" s="8"/>
      <c r="N121" s="7"/>
      <c r="O121" s="7"/>
      <c r="P121" s="7" t="s">
        <v>87</v>
      </c>
      <c r="Q121" s="9">
        <v>46165</v>
      </c>
      <c r="R121" s="7" t="s">
        <v>290</v>
      </c>
      <c r="S121" s="10" t="s">
        <v>780</v>
      </c>
    </row>
    <row r="122" spans="1:19" ht="40.5" x14ac:dyDescent="0.25">
      <c r="A122" s="17" t="s">
        <v>781</v>
      </c>
      <c r="B122" s="7" t="s">
        <v>782</v>
      </c>
      <c r="C122" s="7" t="s">
        <v>604</v>
      </c>
      <c r="D122" s="7"/>
      <c r="E122" s="7"/>
      <c r="F122" s="7" t="s">
        <v>289</v>
      </c>
      <c r="G122" s="7" t="s">
        <v>289</v>
      </c>
      <c r="H122" s="8"/>
      <c r="I122" s="7"/>
      <c r="J122" s="7"/>
      <c r="K122" s="7"/>
      <c r="L122" s="8"/>
      <c r="M122" s="8"/>
      <c r="N122" s="7"/>
      <c r="O122" s="7"/>
      <c r="P122" s="7" t="s">
        <v>87</v>
      </c>
      <c r="Q122" s="9">
        <v>46192</v>
      </c>
      <c r="R122" s="7" t="s">
        <v>290</v>
      </c>
      <c r="S122" s="10" t="s">
        <v>783</v>
      </c>
    </row>
    <row r="123" spans="1:19" ht="40.5" x14ac:dyDescent="0.25">
      <c r="A123" s="17" t="s">
        <v>784</v>
      </c>
      <c r="B123" s="7" t="s">
        <v>785</v>
      </c>
      <c r="C123" s="7" t="s">
        <v>596</v>
      </c>
      <c r="D123" s="7"/>
      <c r="E123" s="7"/>
      <c r="F123" s="7" t="s">
        <v>289</v>
      </c>
      <c r="G123" s="7" t="s">
        <v>289</v>
      </c>
      <c r="H123" s="8"/>
      <c r="I123" s="7"/>
      <c r="J123" s="7"/>
      <c r="K123" s="7"/>
      <c r="L123" s="8"/>
      <c r="M123" s="8"/>
      <c r="N123" s="7"/>
      <c r="O123" s="7"/>
      <c r="P123" s="7" t="s">
        <v>87</v>
      </c>
      <c r="Q123" s="9">
        <v>46192</v>
      </c>
      <c r="R123" s="7" t="s">
        <v>290</v>
      </c>
      <c r="S123" s="10" t="s">
        <v>786</v>
      </c>
    </row>
    <row r="124" spans="1:19" ht="40.5" x14ac:dyDescent="0.25">
      <c r="A124" s="17" t="s">
        <v>787</v>
      </c>
      <c r="B124" s="7" t="s">
        <v>788</v>
      </c>
      <c r="C124" s="7" t="s">
        <v>596</v>
      </c>
      <c r="D124" s="7"/>
      <c r="E124" s="7"/>
      <c r="F124" s="7" t="s">
        <v>289</v>
      </c>
      <c r="G124" s="7" t="s">
        <v>289</v>
      </c>
      <c r="H124" s="8"/>
      <c r="I124" s="7"/>
      <c r="J124" s="7"/>
      <c r="K124" s="7"/>
      <c r="L124" s="8"/>
      <c r="M124" s="8"/>
      <c r="N124" s="7"/>
      <c r="O124" s="7"/>
      <c r="P124" s="7" t="s">
        <v>87</v>
      </c>
      <c r="Q124" s="9">
        <v>46192</v>
      </c>
      <c r="R124" s="7" t="s">
        <v>290</v>
      </c>
      <c r="S124" s="10" t="s">
        <v>789</v>
      </c>
    </row>
    <row r="125" spans="1:19" ht="40.5" x14ac:dyDescent="0.25">
      <c r="A125" s="17" t="s">
        <v>790</v>
      </c>
      <c r="B125" s="7" t="s">
        <v>791</v>
      </c>
      <c r="C125" s="7" t="s">
        <v>604</v>
      </c>
      <c r="D125" s="7"/>
      <c r="E125" s="7"/>
      <c r="F125" s="7" t="s">
        <v>289</v>
      </c>
      <c r="G125" s="7" t="s">
        <v>289</v>
      </c>
      <c r="H125" s="8"/>
      <c r="I125" s="7"/>
      <c r="J125" s="7"/>
      <c r="K125" s="7"/>
      <c r="L125" s="8"/>
      <c r="M125" s="8"/>
      <c r="N125" s="7"/>
      <c r="O125" s="7"/>
      <c r="P125" s="7" t="s">
        <v>87</v>
      </c>
      <c r="Q125" s="9">
        <v>46192</v>
      </c>
      <c r="R125" s="7" t="s">
        <v>290</v>
      </c>
      <c r="S125" s="10" t="s">
        <v>792</v>
      </c>
    </row>
    <row r="126" spans="1:19" ht="81" x14ac:dyDescent="0.25">
      <c r="A126" s="17" t="s">
        <v>793</v>
      </c>
      <c r="B126" s="7" t="s">
        <v>794</v>
      </c>
      <c r="C126" s="7" t="s">
        <v>481</v>
      </c>
      <c r="D126" s="7" t="s">
        <v>795</v>
      </c>
      <c r="E126" s="7" t="s">
        <v>496</v>
      </c>
      <c r="F126" s="7" t="s">
        <v>308</v>
      </c>
      <c r="G126" s="7" t="s">
        <v>308</v>
      </c>
      <c r="H126" s="8">
        <v>750</v>
      </c>
      <c r="I126" s="7"/>
      <c r="J126" s="7"/>
      <c r="K126" s="7"/>
      <c r="L126" s="8"/>
      <c r="M126" s="8"/>
      <c r="N126" s="7"/>
      <c r="O126" s="7"/>
      <c r="P126" s="7" t="s">
        <v>87</v>
      </c>
      <c r="Q126" s="9">
        <v>46150</v>
      </c>
      <c r="R126" s="7" t="s">
        <v>290</v>
      </c>
      <c r="S126" s="10" t="s">
        <v>796</v>
      </c>
    </row>
    <row r="127" spans="1:19" ht="54" x14ac:dyDescent="0.25">
      <c r="A127" s="17" t="s">
        <v>797</v>
      </c>
      <c r="B127" s="7" t="s">
        <v>798</v>
      </c>
      <c r="C127" s="7" t="s">
        <v>437</v>
      </c>
      <c r="D127" s="7" t="s">
        <v>799</v>
      </c>
      <c r="E127" s="7" t="s">
        <v>439</v>
      </c>
      <c r="F127" s="7" t="s">
        <v>289</v>
      </c>
      <c r="G127" s="7" t="s">
        <v>289</v>
      </c>
      <c r="H127" s="8">
        <v>1</v>
      </c>
      <c r="I127" s="7"/>
      <c r="J127" s="7"/>
      <c r="K127" s="7"/>
      <c r="L127" s="8"/>
      <c r="M127" s="8"/>
      <c r="N127" s="7"/>
      <c r="O127" s="7"/>
      <c r="P127" s="7" t="s">
        <v>87</v>
      </c>
      <c r="Q127" s="9">
        <v>46121</v>
      </c>
      <c r="R127" s="7" t="s">
        <v>290</v>
      </c>
      <c r="S127" s="10" t="s">
        <v>800</v>
      </c>
    </row>
    <row r="128" spans="1:19" ht="27" x14ac:dyDescent="0.25">
      <c r="A128" s="17" t="s">
        <v>801</v>
      </c>
      <c r="B128" s="7" t="s">
        <v>802</v>
      </c>
      <c r="C128" s="7" t="s">
        <v>294</v>
      </c>
      <c r="D128" s="7"/>
      <c r="E128" s="7"/>
      <c r="F128" s="7" t="s">
        <v>289</v>
      </c>
      <c r="G128" s="7" t="s">
        <v>289</v>
      </c>
      <c r="H128" s="8"/>
      <c r="I128" s="7"/>
      <c r="J128" s="7"/>
      <c r="K128" s="7"/>
      <c r="L128" s="8"/>
      <c r="M128" s="8"/>
      <c r="N128" s="7"/>
      <c r="O128" s="7"/>
      <c r="P128" s="7" t="s">
        <v>87</v>
      </c>
      <c r="Q128" s="9">
        <v>46182</v>
      </c>
      <c r="R128" s="7" t="s">
        <v>290</v>
      </c>
      <c r="S128" s="10" t="s">
        <v>803</v>
      </c>
    </row>
    <row r="129" spans="1:19" ht="40.5" x14ac:dyDescent="0.25">
      <c r="A129" s="17" t="s">
        <v>804</v>
      </c>
      <c r="B129" s="7" t="s">
        <v>805</v>
      </c>
      <c r="C129" s="7" t="s">
        <v>596</v>
      </c>
      <c r="D129" s="7"/>
      <c r="E129" s="7"/>
      <c r="F129" s="7" t="s">
        <v>289</v>
      </c>
      <c r="G129" s="7" t="s">
        <v>289</v>
      </c>
      <c r="H129" s="8"/>
      <c r="I129" s="7"/>
      <c r="J129" s="7"/>
      <c r="K129" s="7"/>
      <c r="L129" s="8"/>
      <c r="M129" s="8"/>
      <c r="N129" s="7"/>
      <c r="O129" s="7"/>
      <c r="P129" s="7" t="s">
        <v>87</v>
      </c>
      <c r="Q129" s="9">
        <v>46192</v>
      </c>
      <c r="R129" s="7" t="s">
        <v>290</v>
      </c>
      <c r="S129" s="10" t="s">
        <v>806</v>
      </c>
    </row>
    <row r="130" spans="1:19" ht="54" x14ac:dyDescent="0.25">
      <c r="A130" s="17" t="s">
        <v>807</v>
      </c>
      <c r="B130" s="7" t="s">
        <v>808</v>
      </c>
      <c r="C130" s="7" t="s">
        <v>437</v>
      </c>
      <c r="D130" s="7" t="s">
        <v>809</v>
      </c>
      <c r="E130" s="7" t="s">
        <v>439</v>
      </c>
      <c r="F130" s="7" t="s">
        <v>289</v>
      </c>
      <c r="G130" s="7" t="s">
        <v>289</v>
      </c>
      <c r="H130" s="8">
        <v>1</v>
      </c>
      <c r="I130" s="7"/>
      <c r="J130" s="7"/>
      <c r="K130" s="7"/>
      <c r="L130" s="8"/>
      <c r="M130" s="8"/>
      <c r="N130" s="7"/>
      <c r="O130" s="7"/>
      <c r="P130" s="7" t="s">
        <v>87</v>
      </c>
      <c r="Q130" s="9">
        <v>46105</v>
      </c>
      <c r="R130" s="7" t="s">
        <v>290</v>
      </c>
      <c r="S130" s="10" t="s">
        <v>810</v>
      </c>
    </row>
    <row r="131" spans="1:19" ht="27" x14ac:dyDescent="0.25">
      <c r="A131" s="17" t="s">
        <v>811</v>
      </c>
      <c r="B131" s="7" t="s">
        <v>812</v>
      </c>
      <c r="C131" s="7" t="s">
        <v>692</v>
      </c>
      <c r="D131" s="7"/>
      <c r="E131" s="7"/>
      <c r="F131" s="7" t="s">
        <v>289</v>
      </c>
      <c r="G131" s="7" t="s">
        <v>289</v>
      </c>
      <c r="H131" s="8"/>
      <c r="I131" s="7"/>
      <c r="J131" s="7"/>
      <c r="K131" s="7"/>
      <c r="L131" s="8"/>
      <c r="M131" s="8"/>
      <c r="N131" s="7"/>
      <c r="O131" s="7"/>
      <c r="P131" s="7" t="s">
        <v>87</v>
      </c>
      <c r="Q131" s="9">
        <v>46165</v>
      </c>
      <c r="R131" s="7" t="s">
        <v>290</v>
      </c>
      <c r="S131" s="10" t="s">
        <v>813</v>
      </c>
    </row>
    <row r="132" spans="1:19" ht="27" x14ac:dyDescent="0.25">
      <c r="A132" s="17" t="s">
        <v>814</v>
      </c>
      <c r="B132" s="7" t="s">
        <v>815</v>
      </c>
      <c r="C132" s="7" t="s">
        <v>816</v>
      </c>
      <c r="D132" s="7"/>
      <c r="E132" s="7"/>
      <c r="F132" s="7" t="s">
        <v>289</v>
      </c>
      <c r="G132" s="7" t="s">
        <v>289</v>
      </c>
      <c r="H132" s="8"/>
      <c r="I132" s="7"/>
      <c r="J132" s="7"/>
      <c r="K132" s="7"/>
      <c r="L132" s="8"/>
      <c r="M132" s="8"/>
      <c r="N132" s="7"/>
      <c r="O132" s="7"/>
      <c r="P132" s="7" t="s">
        <v>87</v>
      </c>
      <c r="Q132" s="9">
        <v>46185</v>
      </c>
      <c r="R132" s="7" t="s">
        <v>290</v>
      </c>
      <c r="S132" s="10" t="s">
        <v>817</v>
      </c>
    </row>
    <row r="133" spans="1:19" ht="81" x14ac:dyDescent="0.25">
      <c r="A133" s="17" t="s">
        <v>818</v>
      </c>
      <c r="B133" s="7" t="s">
        <v>819</v>
      </c>
      <c r="C133" s="7" t="s">
        <v>475</v>
      </c>
      <c r="D133" s="7" t="s">
        <v>820</v>
      </c>
      <c r="E133" s="7" t="s">
        <v>821</v>
      </c>
      <c r="F133" s="7" t="s">
        <v>25</v>
      </c>
      <c r="G133" s="7" t="s">
        <v>25</v>
      </c>
      <c r="H133" s="8">
        <v>1500</v>
      </c>
      <c r="I133" s="7"/>
      <c r="J133" s="7"/>
      <c r="K133" s="7"/>
      <c r="L133" s="8"/>
      <c r="M133" s="8"/>
      <c r="N133" s="7"/>
      <c r="O133" s="7"/>
      <c r="P133" s="7" t="s">
        <v>87</v>
      </c>
      <c r="Q133" s="9">
        <v>46149</v>
      </c>
      <c r="R133" s="7" t="s">
        <v>290</v>
      </c>
      <c r="S133" s="10" t="s">
        <v>822</v>
      </c>
    </row>
    <row r="134" spans="1:19" ht="81" x14ac:dyDescent="0.25">
      <c r="A134" s="17" t="s">
        <v>823</v>
      </c>
      <c r="B134" s="7" t="s">
        <v>824</v>
      </c>
      <c r="C134" s="7" t="s">
        <v>825</v>
      </c>
      <c r="D134" s="7" t="s">
        <v>826</v>
      </c>
      <c r="E134" s="7" t="s">
        <v>827</v>
      </c>
      <c r="F134" s="7" t="s">
        <v>25</v>
      </c>
      <c r="G134" s="7" t="s">
        <v>25</v>
      </c>
      <c r="H134" s="8">
        <v>2500</v>
      </c>
      <c r="I134" s="7"/>
      <c r="J134" s="7"/>
      <c r="K134" s="7"/>
      <c r="L134" s="8"/>
      <c r="M134" s="8"/>
      <c r="N134" s="7"/>
      <c r="O134" s="7"/>
      <c r="P134" s="7" t="s">
        <v>87</v>
      </c>
      <c r="Q134" s="9">
        <v>46094</v>
      </c>
      <c r="R134" s="7" t="s">
        <v>290</v>
      </c>
      <c r="S134" s="10" t="s">
        <v>828</v>
      </c>
    </row>
    <row r="135" spans="1:19" ht="81" x14ac:dyDescent="0.25">
      <c r="A135" s="17" t="s">
        <v>829</v>
      </c>
      <c r="B135" s="7" t="s">
        <v>830</v>
      </c>
      <c r="C135" s="7" t="s">
        <v>825</v>
      </c>
      <c r="D135" s="7" t="s">
        <v>831</v>
      </c>
      <c r="E135" s="7" t="s">
        <v>643</v>
      </c>
      <c r="F135" s="7" t="s">
        <v>25</v>
      </c>
      <c r="G135" s="7" t="s">
        <v>25</v>
      </c>
      <c r="H135" s="8">
        <v>3000</v>
      </c>
      <c r="I135" s="7"/>
      <c r="J135" s="7"/>
      <c r="K135" s="7"/>
      <c r="L135" s="8"/>
      <c r="M135" s="8"/>
      <c r="N135" s="7"/>
      <c r="O135" s="7"/>
      <c r="P135" s="7" t="s">
        <v>87</v>
      </c>
      <c r="Q135" s="9">
        <v>46203</v>
      </c>
      <c r="R135" s="7" t="s">
        <v>290</v>
      </c>
      <c r="S135" s="10" t="s">
        <v>832</v>
      </c>
    </row>
    <row r="136" spans="1:19" ht="81" x14ac:dyDescent="0.25">
      <c r="A136" s="17" t="s">
        <v>833</v>
      </c>
      <c r="B136" s="7" t="s">
        <v>834</v>
      </c>
      <c r="C136" s="7" t="s">
        <v>825</v>
      </c>
      <c r="D136" s="7" t="s">
        <v>835</v>
      </c>
      <c r="E136" s="7" t="s">
        <v>836</v>
      </c>
      <c r="F136" s="7" t="s">
        <v>25</v>
      </c>
      <c r="G136" s="7" t="s">
        <v>25</v>
      </c>
      <c r="H136" s="8">
        <v>2500</v>
      </c>
      <c r="I136" s="7"/>
      <c r="J136" s="7"/>
      <c r="K136" s="7"/>
      <c r="L136" s="8"/>
      <c r="M136" s="8"/>
      <c r="N136" s="7"/>
      <c r="O136" s="7"/>
      <c r="P136" s="7" t="s">
        <v>87</v>
      </c>
      <c r="Q136" s="9">
        <v>46203</v>
      </c>
      <c r="R136" s="7" t="s">
        <v>290</v>
      </c>
      <c r="S136" s="10" t="s">
        <v>837</v>
      </c>
    </row>
    <row r="137" spans="1:19" ht="40.5" x14ac:dyDescent="0.25">
      <c r="A137" s="17" t="s">
        <v>838</v>
      </c>
      <c r="B137" s="7" t="s">
        <v>839</v>
      </c>
      <c r="C137" s="7" t="s">
        <v>288</v>
      </c>
      <c r="D137" s="7"/>
      <c r="E137" s="7"/>
      <c r="F137" s="7" t="s">
        <v>289</v>
      </c>
      <c r="G137" s="7" t="s">
        <v>289</v>
      </c>
      <c r="H137" s="8"/>
      <c r="I137" s="7"/>
      <c r="J137" s="7"/>
      <c r="K137" s="7"/>
      <c r="L137" s="8"/>
      <c r="M137" s="8"/>
      <c r="N137" s="7"/>
      <c r="O137" s="7"/>
      <c r="P137" s="7" t="s">
        <v>87</v>
      </c>
      <c r="Q137" s="9">
        <v>46143</v>
      </c>
      <c r="R137" s="7" t="s">
        <v>290</v>
      </c>
      <c r="S137" s="10" t="s">
        <v>840</v>
      </c>
    </row>
    <row r="138" spans="1:19" ht="40.5" x14ac:dyDescent="0.25">
      <c r="A138" s="17" t="s">
        <v>841</v>
      </c>
      <c r="B138" s="7" t="s">
        <v>842</v>
      </c>
      <c r="C138" s="7" t="s">
        <v>288</v>
      </c>
      <c r="D138" s="7"/>
      <c r="E138" s="7"/>
      <c r="F138" s="7" t="s">
        <v>289</v>
      </c>
      <c r="G138" s="7" t="s">
        <v>289</v>
      </c>
      <c r="H138" s="8"/>
      <c r="I138" s="7"/>
      <c r="J138" s="7"/>
      <c r="K138" s="7"/>
      <c r="L138" s="8"/>
      <c r="M138" s="8"/>
      <c r="N138" s="7"/>
      <c r="O138" s="7"/>
      <c r="P138" s="7" t="s">
        <v>87</v>
      </c>
      <c r="Q138" s="9">
        <v>46176</v>
      </c>
      <c r="R138" s="7" t="s">
        <v>290</v>
      </c>
      <c r="S138" s="10" t="s">
        <v>843</v>
      </c>
    </row>
    <row r="139" spans="1:19" ht="27" x14ac:dyDescent="0.25">
      <c r="A139" s="17" t="s">
        <v>844</v>
      </c>
      <c r="B139" s="7" t="s">
        <v>845</v>
      </c>
      <c r="C139" s="7" t="s">
        <v>846</v>
      </c>
      <c r="D139" s="7"/>
      <c r="E139" s="7"/>
      <c r="F139" s="7" t="s">
        <v>289</v>
      </c>
      <c r="G139" s="7" t="s">
        <v>289</v>
      </c>
      <c r="H139" s="8"/>
      <c r="I139" s="7"/>
      <c r="J139" s="7"/>
      <c r="K139" s="7"/>
      <c r="L139" s="8"/>
      <c r="M139" s="8"/>
      <c r="N139" s="7"/>
      <c r="O139" s="7"/>
      <c r="P139" s="7" t="s">
        <v>87</v>
      </c>
      <c r="Q139" s="9">
        <v>46195</v>
      </c>
      <c r="R139" s="7" t="s">
        <v>290</v>
      </c>
      <c r="S139" s="10" t="s">
        <v>847</v>
      </c>
    </row>
    <row r="140" spans="1:19" ht="81" x14ac:dyDescent="0.25">
      <c r="A140" s="17" t="s">
        <v>848</v>
      </c>
      <c r="B140" s="7" t="s">
        <v>849</v>
      </c>
      <c r="C140" s="7" t="s">
        <v>850</v>
      </c>
      <c r="D140" s="7" t="s">
        <v>851</v>
      </c>
      <c r="E140" s="7" t="s">
        <v>612</v>
      </c>
      <c r="F140" s="7" t="s">
        <v>289</v>
      </c>
      <c r="G140" s="7" t="s">
        <v>289</v>
      </c>
      <c r="H140" s="8">
        <v>100</v>
      </c>
      <c r="I140" s="7"/>
      <c r="J140" s="7"/>
      <c r="K140" s="7"/>
      <c r="L140" s="8"/>
      <c r="M140" s="8"/>
      <c r="N140" s="7"/>
      <c r="O140" s="7"/>
      <c r="P140" s="7" t="s">
        <v>87</v>
      </c>
      <c r="Q140" s="9">
        <v>46210</v>
      </c>
      <c r="R140" s="7" t="s">
        <v>290</v>
      </c>
      <c r="S140" s="10" t="s">
        <v>852</v>
      </c>
    </row>
    <row r="141" spans="1:19" ht="27" x14ac:dyDescent="0.25">
      <c r="A141" s="17" t="s">
        <v>853</v>
      </c>
      <c r="B141" s="7" t="s">
        <v>854</v>
      </c>
      <c r="C141" s="7" t="s">
        <v>846</v>
      </c>
      <c r="D141" s="7"/>
      <c r="E141" s="7"/>
      <c r="F141" s="7" t="s">
        <v>289</v>
      </c>
      <c r="G141" s="7" t="s">
        <v>289</v>
      </c>
      <c r="H141" s="8"/>
      <c r="I141" s="7"/>
      <c r="J141" s="7"/>
      <c r="K141" s="7"/>
      <c r="L141" s="8"/>
      <c r="M141" s="8"/>
      <c r="N141" s="7"/>
      <c r="O141" s="7"/>
      <c r="P141" s="7" t="s">
        <v>87</v>
      </c>
      <c r="Q141" s="9">
        <v>46195</v>
      </c>
      <c r="R141" s="7" t="s">
        <v>290</v>
      </c>
      <c r="S141" s="10" t="s">
        <v>855</v>
      </c>
    </row>
    <row r="142" spans="1:19" ht="81" x14ac:dyDescent="0.25">
      <c r="A142" s="17" t="s">
        <v>856</v>
      </c>
      <c r="B142" s="7" t="s">
        <v>857</v>
      </c>
      <c r="C142" s="7" t="s">
        <v>850</v>
      </c>
      <c r="D142" s="7" t="s">
        <v>858</v>
      </c>
      <c r="E142" s="7" t="s">
        <v>651</v>
      </c>
      <c r="F142" s="7" t="s">
        <v>289</v>
      </c>
      <c r="G142" s="7" t="s">
        <v>289</v>
      </c>
      <c r="H142" s="8">
        <v>100</v>
      </c>
      <c r="I142" s="7"/>
      <c r="J142" s="7"/>
      <c r="K142" s="7"/>
      <c r="L142" s="8"/>
      <c r="M142" s="8"/>
      <c r="N142" s="7"/>
      <c r="O142" s="7"/>
      <c r="P142" s="7" t="s">
        <v>87</v>
      </c>
      <c r="Q142" s="9">
        <v>46106</v>
      </c>
      <c r="R142" s="7" t="s">
        <v>290</v>
      </c>
      <c r="S142" s="10" t="s">
        <v>859</v>
      </c>
    </row>
    <row r="143" spans="1:19" ht="81" x14ac:dyDescent="0.25">
      <c r="A143" s="17" t="s">
        <v>860</v>
      </c>
      <c r="B143" s="7" t="s">
        <v>861</v>
      </c>
      <c r="C143" s="7" t="s">
        <v>850</v>
      </c>
      <c r="D143" s="7" t="s">
        <v>862</v>
      </c>
      <c r="E143" s="7" t="s">
        <v>612</v>
      </c>
      <c r="F143" s="7" t="s">
        <v>289</v>
      </c>
      <c r="G143" s="7" t="s">
        <v>289</v>
      </c>
      <c r="H143" s="8">
        <v>100</v>
      </c>
      <c r="I143" s="7"/>
      <c r="J143" s="7"/>
      <c r="K143" s="7"/>
      <c r="L143" s="8"/>
      <c r="M143" s="8"/>
      <c r="N143" s="7"/>
      <c r="O143" s="7"/>
      <c r="P143" s="7" t="s">
        <v>87</v>
      </c>
      <c r="Q143" s="9">
        <v>46210</v>
      </c>
      <c r="R143" s="7" t="s">
        <v>290</v>
      </c>
      <c r="S143" s="10" t="s">
        <v>863</v>
      </c>
    </row>
    <row r="144" spans="1:19" ht="81" x14ac:dyDescent="0.25">
      <c r="A144" s="17" t="s">
        <v>864</v>
      </c>
      <c r="B144" s="7" t="s">
        <v>865</v>
      </c>
      <c r="C144" s="7" t="s">
        <v>850</v>
      </c>
      <c r="D144" s="7" t="s">
        <v>866</v>
      </c>
      <c r="E144" s="7" t="s">
        <v>439</v>
      </c>
      <c r="F144" s="7" t="s">
        <v>289</v>
      </c>
      <c r="G144" s="7" t="s">
        <v>289</v>
      </c>
      <c r="H144" s="8">
        <v>1</v>
      </c>
      <c r="I144" s="7"/>
      <c r="J144" s="7"/>
      <c r="K144" s="7"/>
      <c r="L144" s="8"/>
      <c r="M144" s="8"/>
      <c r="N144" s="7"/>
      <c r="O144" s="7"/>
      <c r="P144" s="7" t="s">
        <v>87</v>
      </c>
      <c r="Q144" s="9">
        <v>46094</v>
      </c>
      <c r="R144" s="7" t="s">
        <v>290</v>
      </c>
      <c r="S144" s="10" t="s">
        <v>867</v>
      </c>
    </row>
    <row r="145" spans="1:19" ht="81" x14ac:dyDescent="0.25">
      <c r="A145" s="17" t="s">
        <v>868</v>
      </c>
      <c r="B145" s="7" t="s">
        <v>869</v>
      </c>
      <c r="C145" s="7" t="s">
        <v>850</v>
      </c>
      <c r="D145" s="7" t="s">
        <v>870</v>
      </c>
      <c r="E145" s="7" t="s">
        <v>439</v>
      </c>
      <c r="F145" s="7" t="s">
        <v>289</v>
      </c>
      <c r="G145" s="7" t="s">
        <v>289</v>
      </c>
      <c r="H145" s="8">
        <v>1</v>
      </c>
      <c r="I145" s="7"/>
      <c r="J145" s="7"/>
      <c r="K145" s="7"/>
      <c r="L145" s="8"/>
      <c r="M145" s="8"/>
      <c r="N145" s="7"/>
      <c r="O145" s="7"/>
      <c r="P145" s="7" t="s">
        <v>87</v>
      </c>
      <c r="Q145" s="9">
        <v>46094</v>
      </c>
      <c r="R145" s="7" t="s">
        <v>290</v>
      </c>
      <c r="S145" s="10" t="s">
        <v>871</v>
      </c>
    </row>
    <row r="146" spans="1:19" ht="81" x14ac:dyDescent="0.25">
      <c r="A146" s="17" t="s">
        <v>872</v>
      </c>
      <c r="B146" s="7" t="s">
        <v>873</v>
      </c>
      <c r="C146" s="7" t="s">
        <v>850</v>
      </c>
      <c r="D146" s="7" t="s">
        <v>874</v>
      </c>
      <c r="E146" s="7" t="s">
        <v>875</v>
      </c>
      <c r="F146" s="7" t="s">
        <v>289</v>
      </c>
      <c r="G146" s="7" t="s">
        <v>289</v>
      </c>
      <c r="H146" s="8">
        <v>1</v>
      </c>
      <c r="I146" s="7"/>
      <c r="J146" s="7"/>
      <c r="K146" s="7"/>
      <c r="L146" s="8"/>
      <c r="M146" s="8"/>
      <c r="N146" s="7"/>
      <c r="O146" s="7"/>
      <c r="P146" s="7" t="s">
        <v>87</v>
      </c>
      <c r="Q146" s="9">
        <v>46094</v>
      </c>
      <c r="R146" s="7" t="s">
        <v>290</v>
      </c>
      <c r="S146" s="10" t="s">
        <v>876</v>
      </c>
    </row>
    <row r="147" spans="1:19" ht="81" x14ac:dyDescent="0.25">
      <c r="A147" s="17" t="s">
        <v>877</v>
      </c>
      <c r="B147" s="7" t="s">
        <v>878</v>
      </c>
      <c r="C147" s="7" t="s">
        <v>850</v>
      </c>
      <c r="D147" s="7" t="s">
        <v>879</v>
      </c>
      <c r="E147" s="7" t="s">
        <v>612</v>
      </c>
      <c r="F147" s="7" t="s">
        <v>289</v>
      </c>
      <c r="G147" s="7" t="s">
        <v>289</v>
      </c>
      <c r="H147" s="8">
        <v>100</v>
      </c>
      <c r="I147" s="7"/>
      <c r="J147" s="7"/>
      <c r="K147" s="7"/>
      <c r="L147" s="8"/>
      <c r="M147" s="8"/>
      <c r="N147" s="7"/>
      <c r="O147" s="7"/>
      <c r="P147" s="7" t="s">
        <v>87</v>
      </c>
      <c r="Q147" s="9">
        <v>46210</v>
      </c>
      <c r="R147" s="7" t="s">
        <v>290</v>
      </c>
      <c r="S147" s="10" t="s">
        <v>880</v>
      </c>
    </row>
    <row r="148" spans="1:19" ht="81" x14ac:dyDescent="0.25">
      <c r="A148" s="17" t="s">
        <v>881</v>
      </c>
      <c r="B148" s="7" t="s">
        <v>882</v>
      </c>
      <c r="C148" s="7" t="s">
        <v>850</v>
      </c>
      <c r="D148" s="7" t="s">
        <v>883</v>
      </c>
      <c r="E148" s="7" t="s">
        <v>439</v>
      </c>
      <c r="F148" s="7" t="s">
        <v>289</v>
      </c>
      <c r="G148" s="7" t="s">
        <v>289</v>
      </c>
      <c r="H148" s="8">
        <v>1</v>
      </c>
      <c r="I148" s="7"/>
      <c r="J148" s="7"/>
      <c r="K148" s="7"/>
      <c r="L148" s="8"/>
      <c r="M148" s="8"/>
      <c r="N148" s="7"/>
      <c r="O148" s="7"/>
      <c r="P148" s="7" t="s">
        <v>87</v>
      </c>
      <c r="Q148" s="9">
        <v>46126</v>
      </c>
      <c r="R148" s="7" t="s">
        <v>290</v>
      </c>
      <c r="S148" s="10" t="s">
        <v>884</v>
      </c>
    </row>
    <row r="149" spans="1:19" ht="81" x14ac:dyDescent="0.25">
      <c r="A149" s="17" t="s">
        <v>885</v>
      </c>
      <c r="B149" s="7" t="s">
        <v>886</v>
      </c>
      <c r="C149" s="7" t="s">
        <v>850</v>
      </c>
      <c r="D149" s="59" t="s">
        <v>887</v>
      </c>
      <c r="E149" s="7" t="s">
        <v>612</v>
      </c>
      <c r="F149" s="7" t="s">
        <v>289</v>
      </c>
      <c r="G149" s="7" t="s">
        <v>289</v>
      </c>
      <c r="H149" s="8">
        <v>100</v>
      </c>
      <c r="I149" s="7"/>
      <c r="J149" s="7"/>
      <c r="K149" s="7"/>
      <c r="L149" s="8"/>
      <c r="M149" s="8"/>
      <c r="N149" s="7"/>
      <c r="O149" s="7"/>
      <c r="P149" s="7" t="s">
        <v>87</v>
      </c>
      <c r="Q149" s="9">
        <v>46210</v>
      </c>
      <c r="R149" s="7" t="s">
        <v>290</v>
      </c>
      <c r="S149" s="10" t="s">
        <v>888</v>
      </c>
    </row>
    <row r="150" spans="1:19" ht="81" x14ac:dyDescent="0.25">
      <c r="A150" s="17" t="s">
        <v>889</v>
      </c>
      <c r="B150" s="7" t="s">
        <v>890</v>
      </c>
      <c r="C150" s="7" t="s">
        <v>850</v>
      </c>
      <c r="D150" s="7" t="s">
        <v>891</v>
      </c>
      <c r="E150" s="7" t="s">
        <v>612</v>
      </c>
      <c r="F150" s="7" t="s">
        <v>289</v>
      </c>
      <c r="G150" s="7" t="s">
        <v>289</v>
      </c>
      <c r="H150" s="8">
        <v>100</v>
      </c>
      <c r="I150" s="7"/>
      <c r="J150" s="7"/>
      <c r="K150" s="7"/>
      <c r="L150" s="8"/>
      <c r="M150" s="8"/>
      <c r="N150" s="7"/>
      <c r="O150" s="7"/>
      <c r="P150" s="7" t="s">
        <v>87</v>
      </c>
      <c r="Q150" s="9">
        <v>46126</v>
      </c>
      <c r="R150" s="7" t="s">
        <v>290</v>
      </c>
      <c r="S150" s="10" t="s">
        <v>892</v>
      </c>
    </row>
    <row r="151" spans="1:19" ht="81" x14ac:dyDescent="0.25">
      <c r="A151" s="17" t="s">
        <v>893</v>
      </c>
      <c r="B151" s="7" t="s">
        <v>894</v>
      </c>
      <c r="C151" s="7" t="s">
        <v>850</v>
      </c>
      <c r="D151" s="7" t="s">
        <v>895</v>
      </c>
      <c r="E151" s="7" t="s">
        <v>612</v>
      </c>
      <c r="F151" s="7" t="s">
        <v>289</v>
      </c>
      <c r="G151" s="7" t="s">
        <v>289</v>
      </c>
      <c r="H151" s="8">
        <v>100</v>
      </c>
      <c r="I151" s="7"/>
      <c r="J151" s="7"/>
      <c r="K151" s="7"/>
      <c r="L151" s="8"/>
      <c r="M151" s="8"/>
      <c r="N151" s="7"/>
      <c r="O151" s="7"/>
      <c r="P151" s="7" t="s">
        <v>87</v>
      </c>
      <c r="Q151" s="9">
        <v>46210</v>
      </c>
      <c r="R151" s="7" t="s">
        <v>290</v>
      </c>
      <c r="S151" s="10" t="s">
        <v>896</v>
      </c>
    </row>
    <row r="152" spans="1:19" ht="81" x14ac:dyDescent="0.25">
      <c r="A152" s="17" t="s">
        <v>897</v>
      </c>
      <c r="B152" s="7" t="s">
        <v>898</v>
      </c>
      <c r="C152" s="7" t="s">
        <v>850</v>
      </c>
      <c r="D152" s="7" t="s">
        <v>899</v>
      </c>
      <c r="E152" s="7" t="s">
        <v>612</v>
      </c>
      <c r="F152" s="7" t="s">
        <v>289</v>
      </c>
      <c r="G152" s="7" t="s">
        <v>289</v>
      </c>
      <c r="H152" s="8">
        <v>100</v>
      </c>
      <c r="I152" s="7"/>
      <c r="J152" s="7"/>
      <c r="K152" s="7"/>
      <c r="L152" s="8"/>
      <c r="M152" s="8"/>
      <c r="N152" s="7"/>
      <c r="O152" s="7"/>
      <c r="P152" s="7" t="s">
        <v>87</v>
      </c>
      <c r="Q152" s="9">
        <v>46210</v>
      </c>
      <c r="R152" s="7" t="s">
        <v>290</v>
      </c>
      <c r="S152" s="10" t="s">
        <v>900</v>
      </c>
    </row>
    <row r="153" spans="1:19" ht="40.5" x14ac:dyDescent="0.25">
      <c r="A153" s="17" t="s">
        <v>901</v>
      </c>
      <c r="B153" s="7" t="s">
        <v>902</v>
      </c>
      <c r="C153" s="7" t="s">
        <v>288</v>
      </c>
      <c r="D153" s="7"/>
      <c r="E153" s="7"/>
      <c r="F153" s="7" t="s">
        <v>289</v>
      </c>
      <c r="G153" s="7" t="s">
        <v>289</v>
      </c>
      <c r="H153" s="8"/>
      <c r="I153" s="7"/>
      <c r="J153" s="7"/>
      <c r="K153" s="7"/>
      <c r="L153" s="8"/>
      <c r="M153" s="8"/>
      <c r="N153" s="7"/>
      <c r="O153" s="7"/>
      <c r="P153" s="7" t="s">
        <v>87</v>
      </c>
      <c r="Q153" s="9">
        <v>46226</v>
      </c>
      <c r="R153" s="7" t="s">
        <v>290</v>
      </c>
      <c r="S153" s="10" t="s">
        <v>903</v>
      </c>
    </row>
    <row r="154" spans="1:19" ht="40.5" x14ac:dyDescent="0.25">
      <c r="A154" s="17" t="s">
        <v>904</v>
      </c>
      <c r="B154" s="7" t="s">
        <v>905</v>
      </c>
      <c r="C154" s="7" t="s">
        <v>288</v>
      </c>
      <c r="D154" s="7"/>
      <c r="E154" s="7"/>
      <c r="F154" s="7" t="s">
        <v>289</v>
      </c>
      <c r="G154" s="7" t="s">
        <v>289</v>
      </c>
      <c r="H154" s="8"/>
      <c r="I154" s="7"/>
      <c r="J154" s="7"/>
      <c r="K154" s="7"/>
      <c r="L154" s="8"/>
      <c r="M154" s="8"/>
      <c r="N154" s="7"/>
      <c r="O154" s="7"/>
      <c r="P154" s="7" t="s">
        <v>87</v>
      </c>
      <c r="Q154" s="9">
        <v>46143</v>
      </c>
      <c r="R154" s="7" t="s">
        <v>290</v>
      </c>
      <c r="S154" s="10" t="s">
        <v>906</v>
      </c>
    </row>
    <row r="155" spans="1:19" ht="40.5" x14ac:dyDescent="0.25">
      <c r="A155" s="17" t="s">
        <v>907</v>
      </c>
      <c r="B155" s="7" t="s">
        <v>908</v>
      </c>
      <c r="C155" s="7" t="s">
        <v>596</v>
      </c>
      <c r="D155" s="7"/>
      <c r="E155" s="7"/>
      <c r="F155" s="7" t="s">
        <v>289</v>
      </c>
      <c r="G155" s="7" t="s">
        <v>289</v>
      </c>
      <c r="H155" s="8"/>
      <c r="I155" s="7"/>
      <c r="J155" s="7"/>
      <c r="K155" s="7"/>
      <c r="L155" s="8"/>
      <c r="M155" s="8"/>
      <c r="N155" s="7"/>
      <c r="O155" s="7"/>
      <c r="P155" s="7" t="s">
        <v>87</v>
      </c>
      <c r="Q155" s="9">
        <v>46192</v>
      </c>
      <c r="R155" s="7" t="s">
        <v>290</v>
      </c>
      <c r="S155" s="10" t="s">
        <v>909</v>
      </c>
    </row>
    <row r="156" spans="1:19" ht="40.5" x14ac:dyDescent="0.25">
      <c r="A156" s="17" t="s">
        <v>910</v>
      </c>
      <c r="B156" s="7" t="s">
        <v>911</v>
      </c>
      <c r="C156" s="7" t="s">
        <v>596</v>
      </c>
      <c r="D156" s="7"/>
      <c r="E156" s="7"/>
      <c r="F156" s="7" t="s">
        <v>289</v>
      </c>
      <c r="G156" s="7" t="s">
        <v>289</v>
      </c>
      <c r="H156" s="8"/>
      <c r="I156" s="7"/>
      <c r="J156" s="7"/>
      <c r="K156" s="7"/>
      <c r="L156" s="8"/>
      <c r="M156" s="8"/>
      <c r="N156" s="7"/>
      <c r="O156" s="7"/>
      <c r="P156" s="7" t="s">
        <v>87</v>
      </c>
      <c r="Q156" s="9">
        <v>46192</v>
      </c>
      <c r="R156" s="7" t="s">
        <v>290</v>
      </c>
      <c r="S156" s="10" t="s">
        <v>912</v>
      </c>
    </row>
    <row r="157" spans="1:19" ht="40.5" x14ac:dyDescent="0.25">
      <c r="A157" s="17" t="s">
        <v>913</v>
      </c>
      <c r="B157" s="7" t="s">
        <v>914</v>
      </c>
      <c r="C157" s="7" t="s">
        <v>596</v>
      </c>
      <c r="D157" s="7"/>
      <c r="E157" s="7"/>
      <c r="F157" s="7" t="s">
        <v>289</v>
      </c>
      <c r="G157" s="7" t="s">
        <v>289</v>
      </c>
      <c r="H157" s="8"/>
      <c r="I157" s="7"/>
      <c r="J157" s="7"/>
      <c r="K157" s="7"/>
      <c r="L157" s="8"/>
      <c r="M157" s="8"/>
      <c r="N157" s="7"/>
      <c r="O157" s="7"/>
      <c r="P157" s="7" t="s">
        <v>87</v>
      </c>
      <c r="Q157" s="9">
        <v>46192</v>
      </c>
      <c r="R157" s="7" t="s">
        <v>290</v>
      </c>
      <c r="S157" s="10" t="s">
        <v>915</v>
      </c>
    </row>
    <row r="158" spans="1:19" ht="40.5" x14ac:dyDescent="0.25">
      <c r="A158" s="17" t="s">
        <v>916</v>
      </c>
      <c r="B158" s="7" t="s">
        <v>917</v>
      </c>
      <c r="C158" s="7" t="s">
        <v>596</v>
      </c>
      <c r="D158" s="7"/>
      <c r="E158" s="7"/>
      <c r="F158" s="7" t="s">
        <v>289</v>
      </c>
      <c r="G158" s="7" t="s">
        <v>289</v>
      </c>
      <c r="H158" s="8"/>
      <c r="I158" s="7"/>
      <c r="J158" s="7"/>
      <c r="K158" s="7"/>
      <c r="L158" s="8"/>
      <c r="M158" s="8"/>
      <c r="N158" s="7"/>
      <c r="O158" s="7"/>
      <c r="P158" s="7" t="s">
        <v>87</v>
      </c>
      <c r="Q158" s="9">
        <v>46192</v>
      </c>
      <c r="R158" s="7" t="s">
        <v>290</v>
      </c>
      <c r="S158" s="10" t="s">
        <v>918</v>
      </c>
    </row>
    <row r="159" spans="1:19" ht="40.5" x14ac:dyDescent="0.25">
      <c r="A159" s="17" t="s">
        <v>919</v>
      </c>
      <c r="B159" s="7" t="s">
        <v>920</v>
      </c>
      <c r="C159" s="7" t="s">
        <v>596</v>
      </c>
      <c r="D159" s="7"/>
      <c r="E159" s="7"/>
      <c r="F159" s="7" t="s">
        <v>289</v>
      </c>
      <c r="G159" s="7" t="s">
        <v>289</v>
      </c>
      <c r="H159" s="8"/>
      <c r="I159" s="7"/>
      <c r="J159" s="7"/>
      <c r="K159" s="7"/>
      <c r="L159" s="8"/>
      <c r="M159" s="8"/>
      <c r="N159" s="7"/>
      <c r="O159" s="7"/>
      <c r="P159" s="7" t="s">
        <v>87</v>
      </c>
      <c r="Q159" s="9">
        <v>46192</v>
      </c>
      <c r="R159" s="7" t="s">
        <v>290</v>
      </c>
      <c r="S159" s="10" t="s">
        <v>921</v>
      </c>
    </row>
    <row r="160" spans="1:19" ht="40.5" x14ac:dyDescent="0.25">
      <c r="A160" s="17" t="s">
        <v>922</v>
      </c>
      <c r="B160" s="7" t="s">
        <v>923</v>
      </c>
      <c r="C160" s="7" t="s">
        <v>596</v>
      </c>
      <c r="D160" s="7"/>
      <c r="E160" s="7"/>
      <c r="F160" s="7" t="s">
        <v>289</v>
      </c>
      <c r="G160" s="7" t="s">
        <v>289</v>
      </c>
      <c r="H160" s="8"/>
      <c r="I160" s="7"/>
      <c r="J160" s="7"/>
      <c r="K160" s="7"/>
      <c r="L160" s="8"/>
      <c r="M160" s="8"/>
      <c r="N160" s="7"/>
      <c r="O160" s="7"/>
      <c r="P160" s="7" t="s">
        <v>87</v>
      </c>
      <c r="Q160" s="9">
        <v>46214</v>
      </c>
      <c r="R160" s="7" t="s">
        <v>290</v>
      </c>
      <c r="S160" s="10" t="s">
        <v>924</v>
      </c>
    </row>
    <row r="161" spans="1:19" ht="81" x14ac:dyDescent="0.25">
      <c r="A161" s="58" t="s">
        <v>925</v>
      </c>
      <c r="B161" s="7" t="s">
        <v>926</v>
      </c>
      <c r="C161" s="7" t="s">
        <v>388</v>
      </c>
      <c r="D161" s="7" t="s">
        <v>927</v>
      </c>
      <c r="E161" s="7" t="s">
        <v>361</v>
      </c>
      <c r="F161" s="7" t="s">
        <v>25</v>
      </c>
      <c r="G161" s="7" t="s">
        <v>25</v>
      </c>
      <c r="H161" s="8">
        <v>1000</v>
      </c>
      <c r="I161" s="7"/>
      <c r="J161" s="7"/>
      <c r="K161" s="7"/>
      <c r="L161" s="8"/>
      <c r="M161" s="8"/>
      <c r="N161" s="7"/>
      <c r="O161" s="7"/>
      <c r="P161" s="7" t="s">
        <v>87</v>
      </c>
      <c r="Q161" s="9">
        <v>46097</v>
      </c>
      <c r="R161" s="7" t="s">
        <v>290</v>
      </c>
      <c r="S161" s="10" t="s">
        <v>928</v>
      </c>
    </row>
    <row r="162" spans="1:19" ht="27" x14ac:dyDescent="0.25">
      <c r="A162" s="17" t="s">
        <v>929</v>
      </c>
      <c r="B162" s="7" t="s">
        <v>930</v>
      </c>
      <c r="C162" s="7" t="s">
        <v>487</v>
      </c>
      <c r="D162" s="7"/>
      <c r="E162" s="7"/>
      <c r="F162" s="7" t="s">
        <v>289</v>
      </c>
      <c r="G162" s="7" t="s">
        <v>289</v>
      </c>
      <c r="H162" s="8"/>
      <c r="I162" s="7"/>
      <c r="J162" s="7"/>
      <c r="K162" s="7"/>
      <c r="L162" s="8"/>
      <c r="M162" s="8"/>
      <c r="N162" s="7"/>
      <c r="O162" s="7"/>
      <c r="P162" s="7" t="s">
        <v>87</v>
      </c>
      <c r="Q162" s="9">
        <v>46182</v>
      </c>
      <c r="R162" s="7" t="s">
        <v>290</v>
      </c>
      <c r="S162" s="10" t="s">
        <v>931</v>
      </c>
    </row>
    <row r="163" spans="1:19" ht="27" x14ac:dyDescent="0.25">
      <c r="A163" s="17" t="s">
        <v>932</v>
      </c>
      <c r="B163" s="7" t="s">
        <v>933</v>
      </c>
      <c r="C163" s="7" t="s">
        <v>338</v>
      </c>
      <c r="D163" s="7"/>
      <c r="E163" s="7"/>
      <c r="F163" s="7" t="s">
        <v>289</v>
      </c>
      <c r="G163" s="7" t="s">
        <v>289</v>
      </c>
      <c r="H163" s="8"/>
      <c r="I163" s="7"/>
      <c r="J163" s="7"/>
      <c r="K163" s="7"/>
      <c r="L163" s="8"/>
      <c r="M163" s="8"/>
      <c r="N163" s="7"/>
      <c r="O163" s="7"/>
      <c r="P163" s="7" t="s">
        <v>87</v>
      </c>
      <c r="Q163" s="9">
        <v>46185</v>
      </c>
      <c r="R163" s="7" t="s">
        <v>290</v>
      </c>
      <c r="S163" s="10" t="s">
        <v>934</v>
      </c>
    </row>
    <row r="164" spans="1:19" ht="81" x14ac:dyDescent="0.25">
      <c r="A164" s="17" t="s">
        <v>935</v>
      </c>
      <c r="B164" s="7" t="s">
        <v>936</v>
      </c>
      <c r="C164" s="7" t="s">
        <v>475</v>
      </c>
      <c r="D164" s="59" t="s">
        <v>937</v>
      </c>
      <c r="E164" s="7" t="s">
        <v>938</v>
      </c>
      <c r="F164" s="7" t="s">
        <v>25</v>
      </c>
      <c r="G164" s="7" t="s">
        <v>25</v>
      </c>
      <c r="H164" s="8">
        <v>5000</v>
      </c>
      <c r="I164" s="7"/>
      <c r="J164" s="7"/>
      <c r="K164" s="7"/>
      <c r="L164" s="8"/>
      <c r="M164" s="8"/>
      <c r="N164" s="7"/>
      <c r="O164" s="7"/>
      <c r="P164" s="7" t="s">
        <v>87</v>
      </c>
      <c r="Q164" s="9">
        <v>46126</v>
      </c>
      <c r="R164" s="7" t="s">
        <v>290</v>
      </c>
      <c r="S164" s="10" t="s">
        <v>939</v>
      </c>
    </row>
    <row r="165" spans="1:19" ht="67.5" x14ac:dyDescent="0.25">
      <c r="A165" s="17" t="s">
        <v>940</v>
      </c>
      <c r="B165" s="7" t="s">
        <v>941</v>
      </c>
      <c r="C165" s="7" t="s">
        <v>388</v>
      </c>
      <c r="D165" s="7" t="s">
        <v>942</v>
      </c>
      <c r="E165" s="7" t="s">
        <v>688</v>
      </c>
      <c r="F165" s="7" t="s">
        <v>25</v>
      </c>
      <c r="G165" s="7" t="s">
        <v>24</v>
      </c>
      <c r="H165" s="8">
        <v>1000</v>
      </c>
      <c r="I165" s="7"/>
      <c r="J165" s="7"/>
      <c r="K165" s="7"/>
      <c r="L165" s="8"/>
      <c r="M165" s="8"/>
      <c r="N165" s="7"/>
      <c r="O165" s="7"/>
      <c r="P165" s="7" t="s">
        <v>87</v>
      </c>
      <c r="Q165" s="9">
        <v>46172</v>
      </c>
      <c r="R165" s="7" t="s">
        <v>290</v>
      </c>
      <c r="S165" s="10" t="s">
        <v>943</v>
      </c>
    </row>
    <row r="166" spans="1:19" ht="67.5" x14ac:dyDescent="0.25">
      <c r="A166" s="17" t="s">
        <v>944</v>
      </c>
      <c r="B166" s="7" t="s">
        <v>945</v>
      </c>
      <c r="C166" s="7" t="s">
        <v>774</v>
      </c>
      <c r="D166" s="7" t="s">
        <v>946</v>
      </c>
      <c r="E166" s="7" t="s">
        <v>947</v>
      </c>
      <c r="F166" s="7" t="s">
        <v>25</v>
      </c>
      <c r="G166" s="7" t="s">
        <v>25</v>
      </c>
      <c r="H166" s="8">
        <v>1</v>
      </c>
      <c r="I166" s="7"/>
      <c r="J166" s="7"/>
      <c r="K166" s="7"/>
      <c r="L166" s="8"/>
      <c r="M166" s="8"/>
      <c r="N166" s="7"/>
      <c r="O166" s="7"/>
      <c r="P166" s="7" t="s">
        <v>87</v>
      </c>
      <c r="Q166" s="9">
        <v>46172</v>
      </c>
      <c r="R166" s="7" t="s">
        <v>290</v>
      </c>
      <c r="S166" s="10" t="s">
        <v>948</v>
      </c>
    </row>
    <row r="167" spans="1:19" ht="81" x14ac:dyDescent="0.25">
      <c r="A167" s="17" t="s">
        <v>949</v>
      </c>
      <c r="B167" s="7" t="s">
        <v>950</v>
      </c>
      <c r="C167" s="7" t="s">
        <v>774</v>
      </c>
      <c r="D167" s="7" t="s">
        <v>951</v>
      </c>
      <c r="E167" s="7" t="s">
        <v>361</v>
      </c>
      <c r="F167" s="7" t="s">
        <v>25</v>
      </c>
      <c r="G167" s="7" t="s">
        <v>25</v>
      </c>
      <c r="H167" s="8">
        <v>1000</v>
      </c>
      <c r="I167" s="7"/>
      <c r="J167" s="7"/>
      <c r="K167" s="7"/>
      <c r="L167" s="8"/>
      <c r="M167" s="8"/>
      <c r="N167" s="7"/>
      <c r="O167" s="7"/>
      <c r="P167" s="7" t="s">
        <v>87</v>
      </c>
      <c r="Q167" s="9">
        <v>46111</v>
      </c>
      <c r="R167" s="7" t="s">
        <v>290</v>
      </c>
      <c r="S167" s="10" t="s">
        <v>952</v>
      </c>
    </row>
    <row r="168" spans="1:19" ht="27" x14ac:dyDescent="0.25">
      <c r="A168" s="17" t="s">
        <v>953</v>
      </c>
      <c r="B168" s="7" t="s">
        <v>954</v>
      </c>
      <c r="C168" s="7" t="s">
        <v>816</v>
      </c>
      <c r="D168" s="7"/>
      <c r="E168" s="7"/>
      <c r="F168" s="7" t="s">
        <v>289</v>
      </c>
      <c r="G168" s="7" t="s">
        <v>289</v>
      </c>
      <c r="H168" s="8"/>
      <c r="I168" s="7"/>
      <c r="J168" s="7"/>
      <c r="K168" s="7"/>
      <c r="L168" s="8"/>
      <c r="M168" s="8"/>
      <c r="N168" s="7"/>
      <c r="O168" s="7"/>
      <c r="P168" s="7" t="s">
        <v>87</v>
      </c>
      <c r="Q168" s="9">
        <v>46185</v>
      </c>
      <c r="R168" s="7" t="s">
        <v>290</v>
      </c>
      <c r="S168" s="10" t="s">
        <v>955</v>
      </c>
    </row>
    <row r="169" spans="1:19" ht="81" x14ac:dyDescent="0.25">
      <c r="A169" s="17" t="s">
        <v>956</v>
      </c>
      <c r="B169" s="7" t="s">
        <v>957</v>
      </c>
      <c r="C169" s="7" t="s">
        <v>359</v>
      </c>
      <c r="D169" s="7" t="s">
        <v>958</v>
      </c>
      <c r="E169" s="7" t="s">
        <v>361</v>
      </c>
      <c r="F169" s="7" t="s">
        <v>25</v>
      </c>
      <c r="G169" s="7" t="s">
        <v>25</v>
      </c>
      <c r="H169" s="8">
        <v>1000</v>
      </c>
      <c r="I169" s="7"/>
      <c r="J169" s="7"/>
      <c r="K169" s="7"/>
      <c r="L169" s="8"/>
      <c r="M169" s="8"/>
      <c r="N169" s="7"/>
      <c r="O169" s="7"/>
      <c r="P169" s="7" t="s">
        <v>87</v>
      </c>
      <c r="Q169" s="9">
        <v>46076</v>
      </c>
      <c r="R169" s="7" t="s">
        <v>290</v>
      </c>
      <c r="S169" s="10" t="s">
        <v>959</v>
      </c>
    </row>
    <row r="170" spans="1:19" ht="67.5" x14ac:dyDescent="0.25">
      <c r="A170" s="17" t="s">
        <v>960</v>
      </c>
      <c r="B170" s="7" t="s">
        <v>961</v>
      </c>
      <c r="C170" s="7" t="s">
        <v>407</v>
      </c>
      <c r="D170" s="7" t="s">
        <v>962</v>
      </c>
      <c r="E170" s="7" t="s">
        <v>300</v>
      </c>
      <c r="F170" s="7" t="s">
        <v>24</v>
      </c>
      <c r="G170" s="7" t="s">
        <v>24</v>
      </c>
      <c r="H170" s="8">
        <v>1</v>
      </c>
      <c r="I170" s="7"/>
      <c r="J170" s="7"/>
      <c r="K170" s="7"/>
      <c r="L170" s="8"/>
      <c r="M170" s="8"/>
      <c r="N170" s="7"/>
      <c r="O170" s="7"/>
      <c r="P170" s="7" t="s">
        <v>87</v>
      </c>
      <c r="Q170" s="9">
        <v>46079</v>
      </c>
      <c r="R170" s="7" t="s">
        <v>290</v>
      </c>
      <c r="S170" s="10" t="s">
        <v>963</v>
      </c>
    </row>
    <row r="171" spans="1:19" ht="67.5" x14ac:dyDescent="0.25">
      <c r="A171" s="17" t="s">
        <v>964</v>
      </c>
      <c r="B171" s="7" t="s">
        <v>965</v>
      </c>
      <c r="C171" s="7" t="s">
        <v>388</v>
      </c>
      <c r="D171" s="7" t="s">
        <v>966</v>
      </c>
      <c r="E171" s="7" t="s">
        <v>688</v>
      </c>
      <c r="F171" s="7" t="s">
        <v>25</v>
      </c>
      <c r="G171" s="7" t="s">
        <v>24</v>
      </c>
      <c r="H171" s="8">
        <v>1000</v>
      </c>
      <c r="I171" s="7"/>
      <c r="J171" s="7"/>
      <c r="K171" s="7"/>
      <c r="L171" s="8"/>
      <c r="M171" s="8"/>
      <c r="N171" s="7"/>
      <c r="O171" s="7"/>
      <c r="P171" s="7" t="s">
        <v>87</v>
      </c>
      <c r="Q171" s="9">
        <v>46189</v>
      </c>
      <c r="R171" s="7" t="s">
        <v>290</v>
      </c>
      <c r="S171" s="10" t="s">
        <v>967</v>
      </c>
    </row>
    <row r="172" spans="1:19" ht="67.5" x14ac:dyDescent="0.25">
      <c r="A172" s="17" t="s">
        <v>968</v>
      </c>
      <c r="B172" s="7" t="s">
        <v>969</v>
      </c>
      <c r="C172" s="7" t="s">
        <v>407</v>
      </c>
      <c r="D172" s="7" t="s">
        <v>970</v>
      </c>
      <c r="E172" s="7" t="s">
        <v>300</v>
      </c>
      <c r="F172" s="7" t="s">
        <v>24</v>
      </c>
      <c r="G172" s="7" t="s">
        <v>24</v>
      </c>
      <c r="H172" s="8">
        <v>1</v>
      </c>
      <c r="I172" s="7"/>
      <c r="J172" s="7"/>
      <c r="K172" s="7"/>
      <c r="L172" s="8"/>
      <c r="M172" s="8"/>
      <c r="N172" s="7"/>
      <c r="O172" s="7"/>
      <c r="P172" s="7" t="s">
        <v>87</v>
      </c>
      <c r="Q172" s="9">
        <v>46091</v>
      </c>
      <c r="R172" s="7" t="s">
        <v>290</v>
      </c>
      <c r="S172" s="10" t="s">
        <v>971</v>
      </c>
    </row>
    <row r="173" spans="1:19" ht="81" x14ac:dyDescent="0.25">
      <c r="A173" s="17" t="s">
        <v>972</v>
      </c>
      <c r="B173" s="7" t="s">
        <v>973</v>
      </c>
      <c r="C173" s="7" t="s">
        <v>359</v>
      </c>
      <c r="D173" s="7" t="s">
        <v>974</v>
      </c>
      <c r="E173" s="7" t="s">
        <v>361</v>
      </c>
      <c r="F173" s="7" t="s">
        <v>25</v>
      </c>
      <c r="G173" s="7" t="s">
        <v>25</v>
      </c>
      <c r="H173" s="8">
        <v>1000</v>
      </c>
      <c r="I173" s="7"/>
      <c r="J173" s="7"/>
      <c r="K173" s="7"/>
      <c r="L173" s="8"/>
      <c r="M173" s="8"/>
      <c r="N173" s="7"/>
      <c r="O173" s="7"/>
      <c r="P173" s="7" t="s">
        <v>87</v>
      </c>
      <c r="Q173" s="9">
        <v>46106</v>
      </c>
      <c r="R173" s="7" t="s">
        <v>290</v>
      </c>
      <c r="S173" s="10" t="s">
        <v>975</v>
      </c>
    </row>
    <row r="174" spans="1:19" ht="81" x14ac:dyDescent="0.25">
      <c r="A174" s="17" t="s">
        <v>976</v>
      </c>
      <c r="B174" s="7" t="s">
        <v>977</v>
      </c>
      <c r="C174" s="7" t="s">
        <v>359</v>
      </c>
      <c r="D174" s="7" t="s">
        <v>978</v>
      </c>
      <c r="E174" s="7" t="s">
        <v>361</v>
      </c>
      <c r="F174" s="7" t="s">
        <v>25</v>
      </c>
      <c r="G174" s="7" t="s">
        <v>25</v>
      </c>
      <c r="H174" s="8">
        <v>1000</v>
      </c>
      <c r="I174" s="7"/>
      <c r="J174" s="7"/>
      <c r="K174" s="7"/>
      <c r="L174" s="8"/>
      <c r="M174" s="8"/>
      <c r="N174" s="7"/>
      <c r="O174" s="7"/>
      <c r="P174" s="7" t="s">
        <v>87</v>
      </c>
      <c r="Q174" s="9">
        <v>46125</v>
      </c>
      <c r="R174" s="7" t="s">
        <v>290</v>
      </c>
      <c r="S174" s="10" t="s">
        <v>979</v>
      </c>
    </row>
    <row r="175" spans="1:19" ht="67.5" x14ac:dyDescent="0.25">
      <c r="A175" s="17" t="s">
        <v>980</v>
      </c>
      <c r="B175" s="7" t="s">
        <v>981</v>
      </c>
      <c r="C175" s="7" t="s">
        <v>407</v>
      </c>
      <c r="D175" s="7" t="s">
        <v>982</v>
      </c>
      <c r="E175" s="7" t="s">
        <v>300</v>
      </c>
      <c r="F175" s="7" t="s">
        <v>24</v>
      </c>
      <c r="G175" s="7" t="s">
        <v>24</v>
      </c>
      <c r="H175" s="8">
        <v>1</v>
      </c>
      <c r="I175" s="7"/>
      <c r="J175" s="7"/>
      <c r="K175" s="7"/>
      <c r="L175" s="8"/>
      <c r="M175" s="8"/>
      <c r="N175" s="7"/>
      <c r="O175" s="7"/>
      <c r="P175" s="7" t="s">
        <v>87</v>
      </c>
      <c r="Q175" s="9">
        <v>46097</v>
      </c>
      <c r="R175" s="7" t="s">
        <v>290</v>
      </c>
      <c r="S175" s="10" t="s">
        <v>983</v>
      </c>
    </row>
    <row r="176" spans="1:19" ht="81" x14ac:dyDescent="0.25">
      <c r="A176" s="17" t="s">
        <v>984</v>
      </c>
      <c r="B176" s="7" t="s">
        <v>985</v>
      </c>
      <c r="C176" s="7" t="s">
        <v>359</v>
      </c>
      <c r="D176" s="7" t="s">
        <v>986</v>
      </c>
      <c r="E176" s="7" t="s">
        <v>361</v>
      </c>
      <c r="F176" s="7" t="s">
        <v>25</v>
      </c>
      <c r="G176" s="7" t="s">
        <v>25</v>
      </c>
      <c r="H176" s="8">
        <v>1000</v>
      </c>
      <c r="I176" s="7"/>
      <c r="J176" s="7"/>
      <c r="K176" s="7"/>
      <c r="L176" s="8"/>
      <c r="M176" s="8"/>
      <c r="N176" s="7"/>
      <c r="O176" s="7"/>
      <c r="P176" s="7" t="s">
        <v>87</v>
      </c>
      <c r="Q176" s="9">
        <v>46076</v>
      </c>
      <c r="R176" s="7" t="s">
        <v>290</v>
      </c>
      <c r="S176" s="10" t="s">
        <v>987</v>
      </c>
    </row>
    <row r="177" spans="1:19" ht="81" x14ac:dyDescent="0.25">
      <c r="A177" s="17" t="s">
        <v>988</v>
      </c>
      <c r="B177" s="7" t="s">
        <v>989</v>
      </c>
      <c r="C177" s="7" t="s">
        <v>342</v>
      </c>
      <c r="D177" s="7" t="s">
        <v>990</v>
      </c>
      <c r="E177" s="7" t="s">
        <v>991</v>
      </c>
      <c r="F177" s="7" t="s">
        <v>25</v>
      </c>
      <c r="G177" s="7" t="s">
        <v>25</v>
      </c>
      <c r="H177" s="8">
        <v>4000</v>
      </c>
      <c r="I177" s="7"/>
      <c r="J177" s="7"/>
      <c r="K177" s="7"/>
      <c r="L177" s="8"/>
      <c r="M177" s="8"/>
      <c r="N177" s="7"/>
      <c r="O177" s="7"/>
      <c r="P177" s="7" t="s">
        <v>87</v>
      </c>
      <c r="Q177" s="9">
        <v>46097</v>
      </c>
      <c r="R177" s="7" t="s">
        <v>290</v>
      </c>
      <c r="S177" s="10" t="s">
        <v>992</v>
      </c>
    </row>
    <row r="178" spans="1:19" ht="67.5" x14ac:dyDescent="0.25">
      <c r="A178" s="17" t="s">
        <v>993</v>
      </c>
      <c r="B178" s="7" t="s">
        <v>994</v>
      </c>
      <c r="C178" s="7" t="s">
        <v>995</v>
      </c>
      <c r="D178" s="7" t="s">
        <v>996</v>
      </c>
      <c r="E178" s="7" t="s">
        <v>997</v>
      </c>
      <c r="F178" s="7" t="s">
        <v>289</v>
      </c>
      <c r="G178" s="7" t="s">
        <v>289</v>
      </c>
      <c r="H178" s="8">
        <v>6</v>
      </c>
      <c r="I178" s="7"/>
      <c r="J178" s="7"/>
      <c r="K178" s="7"/>
      <c r="L178" s="8"/>
      <c r="M178" s="8"/>
      <c r="N178" s="7"/>
      <c r="O178" s="7"/>
      <c r="P178" s="7" t="s">
        <v>87</v>
      </c>
      <c r="Q178" s="9">
        <v>46079</v>
      </c>
      <c r="R178" s="7" t="s">
        <v>290</v>
      </c>
      <c r="S178" s="10" t="s">
        <v>998</v>
      </c>
    </row>
    <row r="179" spans="1:19" ht="67.5" x14ac:dyDescent="0.25">
      <c r="A179" s="17" t="s">
        <v>999</v>
      </c>
      <c r="B179" s="7" t="s">
        <v>1000</v>
      </c>
      <c r="C179" s="7" t="s">
        <v>995</v>
      </c>
      <c r="D179" s="7" t="s">
        <v>1001</v>
      </c>
      <c r="E179" s="7" t="s">
        <v>1002</v>
      </c>
      <c r="F179" s="7" t="s">
        <v>289</v>
      </c>
      <c r="G179" s="7" t="s">
        <v>289</v>
      </c>
      <c r="H179" s="8">
        <v>24</v>
      </c>
      <c r="I179" s="7"/>
      <c r="J179" s="7"/>
      <c r="K179" s="7"/>
      <c r="L179" s="8"/>
      <c r="M179" s="8"/>
      <c r="N179" s="7"/>
      <c r="O179" s="7"/>
      <c r="P179" s="7" t="s">
        <v>87</v>
      </c>
      <c r="Q179" s="9">
        <v>46078</v>
      </c>
      <c r="R179" s="7" t="s">
        <v>290</v>
      </c>
      <c r="S179" s="10" t="s">
        <v>1003</v>
      </c>
    </row>
    <row r="180" spans="1:19" ht="27" x14ac:dyDescent="0.25">
      <c r="A180" s="17" t="s">
        <v>1004</v>
      </c>
      <c r="B180" s="7" t="s">
        <v>1005</v>
      </c>
      <c r="C180" s="7" t="s">
        <v>491</v>
      </c>
      <c r="D180" s="7"/>
      <c r="E180" s="7"/>
      <c r="F180" s="7" t="s">
        <v>289</v>
      </c>
      <c r="G180" s="7" t="s">
        <v>289</v>
      </c>
      <c r="H180" s="8"/>
      <c r="I180" s="7"/>
      <c r="J180" s="7"/>
      <c r="K180" s="7"/>
      <c r="L180" s="8"/>
      <c r="M180" s="8"/>
      <c r="N180" s="7"/>
      <c r="O180" s="7"/>
      <c r="P180" s="7" t="s">
        <v>87</v>
      </c>
      <c r="Q180" s="9">
        <v>46220</v>
      </c>
      <c r="R180" s="7" t="s">
        <v>290</v>
      </c>
      <c r="S180" s="10" t="s">
        <v>1006</v>
      </c>
    </row>
    <row r="181" spans="1:19" ht="27" x14ac:dyDescent="0.25">
      <c r="A181" s="17" t="s">
        <v>1007</v>
      </c>
      <c r="B181" s="7" t="s">
        <v>1008</v>
      </c>
      <c r="C181" s="7" t="s">
        <v>491</v>
      </c>
      <c r="D181" s="7"/>
      <c r="E181" s="7"/>
      <c r="F181" s="7" t="s">
        <v>289</v>
      </c>
      <c r="G181" s="7" t="s">
        <v>289</v>
      </c>
      <c r="H181" s="8"/>
      <c r="I181" s="7"/>
      <c r="J181" s="7"/>
      <c r="K181" s="7"/>
      <c r="L181" s="8"/>
      <c r="M181" s="8"/>
      <c r="N181" s="7"/>
      <c r="O181" s="7"/>
      <c r="P181" s="7" t="s">
        <v>87</v>
      </c>
      <c r="Q181" s="9">
        <v>46184</v>
      </c>
      <c r="R181" s="7" t="s">
        <v>290</v>
      </c>
      <c r="S181" s="10" t="s">
        <v>1009</v>
      </c>
    </row>
    <row r="182" spans="1:19" ht="27" x14ac:dyDescent="0.25">
      <c r="A182" s="17" t="s">
        <v>1010</v>
      </c>
      <c r="B182" s="7" t="s">
        <v>1011</v>
      </c>
      <c r="C182" s="7" t="s">
        <v>348</v>
      </c>
      <c r="D182" s="7"/>
      <c r="E182" s="7"/>
      <c r="F182" s="7" t="s">
        <v>289</v>
      </c>
      <c r="G182" s="7" t="s">
        <v>289</v>
      </c>
      <c r="H182" s="8"/>
      <c r="I182" s="7"/>
      <c r="J182" s="7"/>
      <c r="K182" s="7"/>
      <c r="L182" s="8"/>
      <c r="M182" s="8"/>
      <c r="N182" s="7"/>
      <c r="O182" s="7"/>
      <c r="P182" s="7" t="s">
        <v>87</v>
      </c>
      <c r="Q182" s="9">
        <v>46220</v>
      </c>
      <c r="R182" s="7" t="s">
        <v>290</v>
      </c>
      <c r="S182" s="10" t="s">
        <v>1012</v>
      </c>
    </row>
    <row r="183" spans="1:19" ht="27" x14ac:dyDescent="0.25">
      <c r="A183" s="17" t="s">
        <v>1013</v>
      </c>
      <c r="B183" s="7" t="s">
        <v>1014</v>
      </c>
      <c r="C183" s="7" t="s">
        <v>348</v>
      </c>
      <c r="D183" s="7"/>
      <c r="E183" s="7"/>
      <c r="F183" s="7" t="s">
        <v>289</v>
      </c>
      <c r="G183" s="7" t="s">
        <v>289</v>
      </c>
      <c r="H183" s="8"/>
      <c r="I183" s="7"/>
      <c r="J183" s="7"/>
      <c r="K183" s="7"/>
      <c r="L183" s="8"/>
      <c r="M183" s="8"/>
      <c r="N183" s="7"/>
      <c r="O183" s="7"/>
      <c r="P183" s="7" t="s">
        <v>87</v>
      </c>
      <c r="Q183" s="9">
        <v>46184</v>
      </c>
      <c r="R183" s="7" t="s">
        <v>290</v>
      </c>
      <c r="S183" s="10" t="s">
        <v>1015</v>
      </c>
    </row>
    <row r="184" spans="1:19" ht="81" x14ac:dyDescent="0.25">
      <c r="A184" s="17" t="s">
        <v>1016</v>
      </c>
      <c r="B184" s="7" t="s">
        <v>1017</v>
      </c>
      <c r="C184" s="7" t="s">
        <v>359</v>
      </c>
      <c r="D184" s="7" t="s">
        <v>1018</v>
      </c>
      <c r="E184" s="7" t="s">
        <v>1019</v>
      </c>
      <c r="F184" s="7" t="s">
        <v>25</v>
      </c>
      <c r="G184" s="7" t="s">
        <v>25</v>
      </c>
      <c r="H184" s="8">
        <v>1000</v>
      </c>
      <c r="I184" s="7"/>
      <c r="J184" s="7"/>
      <c r="K184" s="7"/>
      <c r="L184" s="8"/>
      <c r="M184" s="8"/>
      <c r="N184" s="7"/>
      <c r="O184" s="7"/>
      <c r="P184" s="7" t="s">
        <v>87</v>
      </c>
      <c r="Q184" s="9">
        <v>46091</v>
      </c>
      <c r="R184" s="7" t="s">
        <v>290</v>
      </c>
      <c r="S184" s="10" t="s">
        <v>1020</v>
      </c>
    </row>
    <row r="185" spans="1:19" ht="40.5" x14ac:dyDescent="0.25">
      <c r="A185" s="17" t="s">
        <v>1021</v>
      </c>
      <c r="B185" s="7" t="s">
        <v>1022</v>
      </c>
      <c r="C185" s="7" t="s">
        <v>407</v>
      </c>
      <c r="D185" s="7"/>
      <c r="E185" s="7"/>
      <c r="F185" s="7" t="s">
        <v>24</v>
      </c>
      <c r="G185" s="7" t="s">
        <v>24</v>
      </c>
      <c r="H185" s="8"/>
      <c r="I185" s="7"/>
      <c r="J185" s="7"/>
      <c r="K185" s="7"/>
      <c r="L185" s="8"/>
      <c r="M185" s="8"/>
      <c r="N185" s="7"/>
      <c r="O185" s="7"/>
      <c r="P185" s="7" t="s">
        <v>87</v>
      </c>
      <c r="Q185" s="9">
        <v>46203</v>
      </c>
      <c r="R185" s="7" t="s">
        <v>290</v>
      </c>
      <c r="S185" s="10" t="s">
        <v>1023</v>
      </c>
    </row>
    <row r="186" spans="1:19" ht="27" x14ac:dyDescent="0.25">
      <c r="A186" s="17" t="s">
        <v>1024</v>
      </c>
      <c r="B186" s="7" t="s">
        <v>1025</v>
      </c>
      <c r="C186" s="7" t="s">
        <v>816</v>
      </c>
      <c r="D186" s="7"/>
      <c r="E186" s="7"/>
      <c r="F186" s="7" t="s">
        <v>289</v>
      </c>
      <c r="G186" s="7" t="s">
        <v>289</v>
      </c>
      <c r="H186" s="8"/>
      <c r="I186" s="7"/>
      <c r="J186" s="7"/>
      <c r="K186" s="7"/>
      <c r="L186" s="8"/>
      <c r="M186" s="8"/>
      <c r="N186" s="7"/>
      <c r="O186" s="7"/>
      <c r="P186" s="7" t="s">
        <v>87</v>
      </c>
      <c r="Q186" s="9">
        <v>46197</v>
      </c>
      <c r="R186" s="7" t="s">
        <v>290</v>
      </c>
      <c r="S186" s="10" t="s">
        <v>1026</v>
      </c>
    </row>
    <row r="187" spans="1:19" ht="27" x14ac:dyDescent="0.25">
      <c r="A187" s="17" t="s">
        <v>1027</v>
      </c>
      <c r="B187" s="7" t="s">
        <v>1028</v>
      </c>
      <c r="C187" s="7" t="s">
        <v>1029</v>
      </c>
      <c r="D187" s="7"/>
      <c r="E187" s="7"/>
      <c r="F187" s="7" t="s">
        <v>289</v>
      </c>
      <c r="G187" s="7" t="s">
        <v>289</v>
      </c>
      <c r="H187" s="8"/>
      <c r="I187" s="7"/>
      <c r="J187" s="7"/>
      <c r="K187" s="7"/>
      <c r="L187" s="8"/>
      <c r="M187" s="8"/>
      <c r="N187" s="7"/>
      <c r="O187" s="7"/>
      <c r="P187" s="7" t="s">
        <v>87</v>
      </c>
      <c r="Q187" s="9">
        <v>46185</v>
      </c>
      <c r="R187" s="7" t="s">
        <v>290</v>
      </c>
      <c r="S187" s="10" t="s">
        <v>1030</v>
      </c>
    </row>
    <row r="188" spans="1:19" ht="27" x14ac:dyDescent="0.25">
      <c r="A188" s="17" t="s">
        <v>1031</v>
      </c>
      <c r="B188" s="7" t="s">
        <v>1032</v>
      </c>
      <c r="C188" s="7" t="s">
        <v>680</v>
      </c>
      <c r="D188" s="7"/>
      <c r="E188" s="7"/>
      <c r="F188" s="7" t="s">
        <v>289</v>
      </c>
      <c r="G188" s="7" t="s">
        <v>289</v>
      </c>
      <c r="H188" s="8"/>
      <c r="I188" s="7"/>
      <c r="J188" s="7"/>
      <c r="K188" s="7"/>
      <c r="L188" s="8"/>
      <c r="M188" s="8"/>
      <c r="N188" s="7"/>
      <c r="O188" s="7"/>
      <c r="P188" s="7" t="s">
        <v>87</v>
      </c>
      <c r="Q188" s="9">
        <v>46185</v>
      </c>
      <c r="R188" s="7" t="s">
        <v>290</v>
      </c>
      <c r="S188" s="10" t="s">
        <v>1033</v>
      </c>
    </row>
    <row r="189" spans="1:19" ht="67.5" x14ac:dyDescent="0.25">
      <c r="A189" s="17" t="s">
        <v>1034</v>
      </c>
      <c r="B189" s="7" t="s">
        <v>1035</v>
      </c>
      <c r="C189" s="7" t="s">
        <v>298</v>
      </c>
      <c r="D189" s="7" t="s">
        <v>1036</v>
      </c>
      <c r="E189" s="7" t="s">
        <v>300</v>
      </c>
      <c r="F189" s="7" t="s">
        <v>24</v>
      </c>
      <c r="G189" s="7" t="s">
        <v>24</v>
      </c>
      <c r="H189" s="8">
        <v>1</v>
      </c>
      <c r="I189" s="7"/>
      <c r="J189" s="7"/>
      <c r="K189" s="7"/>
      <c r="L189" s="8"/>
      <c r="M189" s="8"/>
      <c r="N189" s="7"/>
      <c r="O189" s="7"/>
      <c r="P189" s="7" t="s">
        <v>87</v>
      </c>
      <c r="Q189" s="9">
        <v>46097</v>
      </c>
      <c r="R189" s="7" t="s">
        <v>290</v>
      </c>
      <c r="S189" s="10" t="s">
        <v>1037</v>
      </c>
    </row>
    <row r="190" spans="1:19" ht="81" x14ac:dyDescent="0.25">
      <c r="A190" s="17" t="s">
        <v>1038</v>
      </c>
      <c r="B190" s="7" t="s">
        <v>1039</v>
      </c>
      <c r="C190" s="7" t="s">
        <v>1040</v>
      </c>
      <c r="D190" s="7" t="s">
        <v>1041</v>
      </c>
      <c r="E190" s="7" t="s">
        <v>1042</v>
      </c>
      <c r="F190" s="7" t="s">
        <v>25</v>
      </c>
      <c r="G190" s="7" t="s">
        <v>25</v>
      </c>
      <c r="H190" s="8">
        <v>10000</v>
      </c>
      <c r="I190" s="7"/>
      <c r="J190" s="7"/>
      <c r="K190" s="7"/>
      <c r="L190" s="8"/>
      <c r="M190" s="8"/>
      <c r="N190" s="7"/>
      <c r="O190" s="7"/>
      <c r="P190" s="7" t="s">
        <v>87</v>
      </c>
      <c r="Q190" s="9">
        <v>46109</v>
      </c>
      <c r="R190" s="7" t="s">
        <v>290</v>
      </c>
      <c r="S190" s="10" t="s">
        <v>1043</v>
      </c>
    </row>
    <row r="191" spans="1:19" ht="81" x14ac:dyDescent="0.25">
      <c r="A191" s="17" t="s">
        <v>1044</v>
      </c>
      <c r="B191" s="7" t="s">
        <v>1045</v>
      </c>
      <c r="C191" s="7" t="s">
        <v>1040</v>
      </c>
      <c r="D191" s="7" t="s">
        <v>1046</v>
      </c>
      <c r="E191" s="7" t="s">
        <v>361</v>
      </c>
      <c r="F191" s="7" t="s">
        <v>25</v>
      </c>
      <c r="G191" s="7" t="s">
        <v>25</v>
      </c>
      <c r="H191" s="8">
        <v>1000</v>
      </c>
      <c r="I191" s="7"/>
      <c r="J191" s="7"/>
      <c r="K191" s="7"/>
      <c r="L191" s="8"/>
      <c r="M191" s="8"/>
      <c r="N191" s="7"/>
      <c r="O191" s="7"/>
      <c r="P191" s="7" t="s">
        <v>87</v>
      </c>
      <c r="Q191" s="9">
        <v>46149</v>
      </c>
      <c r="R191" s="7" t="s">
        <v>290</v>
      </c>
      <c r="S191" s="10" t="s">
        <v>1047</v>
      </c>
    </row>
    <row r="192" spans="1:19" ht="81" x14ac:dyDescent="0.25">
      <c r="A192" s="17" t="s">
        <v>1048</v>
      </c>
      <c r="B192" s="7" t="s">
        <v>1049</v>
      </c>
      <c r="C192" s="7" t="s">
        <v>1050</v>
      </c>
      <c r="D192" s="7" t="s">
        <v>1051</v>
      </c>
      <c r="E192" s="7" t="s">
        <v>523</v>
      </c>
      <c r="F192" s="7" t="s">
        <v>25</v>
      </c>
      <c r="G192" s="7" t="s">
        <v>25</v>
      </c>
      <c r="H192" s="8">
        <v>500</v>
      </c>
      <c r="I192" s="7"/>
      <c r="J192" s="7"/>
      <c r="K192" s="7"/>
      <c r="L192" s="8"/>
      <c r="M192" s="8"/>
      <c r="N192" s="7"/>
      <c r="O192" s="7"/>
      <c r="P192" s="7" t="s">
        <v>87</v>
      </c>
      <c r="Q192" s="9">
        <v>46149</v>
      </c>
      <c r="R192" s="7" t="s">
        <v>290</v>
      </c>
      <c r="S192" s="10" t="s">
        <v>1052</v>
      </c>
    </row>
    <row r="193" spans="1:19" ht="27" x14ac:dyDescent="0.25">
      <c r="A193" s="17" t="s">
        <v>1053</v>
      </c>
      <c r="B193" s="7" t="s">
        <v>1054</v>
      </c>
      <c r="C193" s="7" t="s">
        <v>437</v>
      </c>
      <c r="D193" s="7"/>
      <c r="E193" s="7"/>
      <c r="F193" s="7" t="s">
        <v>289</v>
      </c>
      <c r="G193" s="7" t="s">
        <v>289</v>
      </c>
      <c r="H193" s="8"/>
      <c r="I193" s="7"/>
      <c r="J193" s="7"/>
      <c r="K193" s="7"/>
      <c r="L193" s="8"/>
      <c r="M193" s="8"/>
      <c r="N193" s="7"/>
      <c r="O193" s="7"/>
      <c r="P193" s="7" t="s">
        <v>87</v>
      </c>
      <c r="Q193" s="9">
        <v>46211</v>
      </c>
      <c r="R193" s="7" t="s">
        <v>290</v>
      </c>
      <c r="S193" s="10" t="s">
        <v>1055</v>
      </c>
    </row>
    <row r="194" spans="1:19" ht="27" x14ac:dyDescent="0.25">
      <c r="A194" s="17" t="s">
        <v>1056</v>
      </c>
      <c r="B194" s="7" t="s">
        <v>1057</v>
      </c>
      <c r="C194" s="7" t="s">
        <v>294</v>
      </c>
      <c r="D194" s="7"/>
      <c r="E194" s="7"/>
      <c r="F194" s="7" t="s">
        <v>289</v>
      </c>
      <c r="G194" s="7" t="s">
        <v>289</v>
      </c>
      <c r="H194" s="8"/>
      <c r="I194" s="7"/>
      <c r="J194" s="7"/>
      <c r="K194" s="7"/>
      <c r="L194" s="8"/>
      <c r="M194" s="8"/>
      <c r="N194" s="7"/>
      <c r="O194" s="7"/>
      <c r="P194" s="7" t="s">
        <v>87</v>
      </c>
      <c r="Q194" s="9">
        <v>46203</v>
      </c>
      <c r="R194" s="7" t="s">
        <v>290</v>
      </c>
      <c r="S194" s="10" t="s">
        <v>1058</v>
      </c>
    </row>
    <row r="195" spans="1:19" ht="81" x14ac:dyDescent="0.25">
      <c r="A195" s="17" t="s">
        <v>1059</v>
      </c>
      <c r="B195" s="7" t="s">
        <v>1060</v>
      </c>
      <c r="C195" s="7" t="s">
        <v>1040</v>
      </c>
      <c r="D195" s="7" t="s">
        <v>1061</v>
      </c>
      <c r="E195" s="7" t="s">
        <v>361</v>
      </c>
      <c r="F195" s="7" t="s">
        <v>25</v>
      </c>
      <c r="G195" s="7" t="s">
        <v>25</v>
      </c>
      <c r="H195" s="8">
        <v>1000</v>
      </c>
      <c r="I195" s="7"/>
      <c r="J195" s="7"/>
      <c r="K195" s="7"/>
      <c r="L195" s="8"/>
      <c r="M195" s="8"/>
      <c r="N195" s="7"/>
      <c r="O195" s="7"/>
      <c r="P195" s="7" t="s">
        <v>87</v>
      </c>
      <c r="Q195" s="9">
        <v>46109</v>
      </c>
      <c r="R195" s="7" t="s">
        <v>290</v>
      </c>
      <c r="S195" s="10" t="s">
        <v>1062</v>
      </c>
    </row>
    <row r="196" spans="1:19" ht="27" x14ac:dyDescent="0.25">
      <c r="A196" s="17" t="s">
        <v>1063</v>
      </c>
      <c r="B196" s="7" t="s">
        <v>1064</v>
      </c>
      <c r="C196" s="7" t="s">
        <v>491</v>
      </c>
      <c r="D196" s="7"/>
      <c r="E196" s="7"/>
      <c r="F196" s="7" t="s">
        <v>289</v>
      </c>
      <c r="G196" s="7" t="s">
        <v>289</v>
      </c>
      <c r="H196" s="8"/>
      <c r="I196" s="7"/>
      <c r="J196" s="7"/>
      <c r="K196" s="7"/>
      <c r="L196" s="8"/>
      <c r="M196" s="8"/>
      <c r="N196" s="7"/>
      <c r="O196" s="7"/>
      <c r="P196" s="7" t="s">
        <v>87</v>
      </c>
      <c r="Q196" s="9">
        <v>46184</v>
      </c>
      <c r="R196" s="7" t="s">
        <v>290</v>
      </c>
      <c r="S196" s="10" t="s">
        <v>1065</v>
      </c>
    </row>
    <row r="197" spans="1:19" ht="81" x14ac:dyDescent="0.25">
      <c r="A197" s="17" t="s">
        <v>1066</v>
      </c>
      <c r="B197" s="7" t="s">
        <v>1067</v>
      </c>
      <c r="C197" s="7" t="s">
        <v>342</v>
      </c>
      <c r="D197" s="7" t="s">
        <v>1068</v>
      </c>
      <c r="E197" s="7" t="s">
        <v>523</v>
      </c>
      <c r="F197" s="7" t="s">
        <v>25</v>
      </c>
      <c r="G197" s="7" t="s">
        <v>25</v>
      </c>
      <c r="H197" s="8">
        <v>500</v>
      </c>
      <c r="I197" s="7"/>
      <c r="J197" s="7"/>
      <c r="K197" s="7"/>
      <c r="L197" s="8"/>
      <c r="M197" s="8"/>
      <c r="N197" s="7"/>
      <c r="O197" s="7"/>
      <c r="P197" s="7" t="s">
        <v>87</v>
      </c>
      <c r="Q197" s="9">
        <v>46125</v>
      </c>
      <c r="R197" s="7" t="s">
        <v>290</v>
      </c>
      <c r="S197" s="10" t="s">
        <v>1069</v>
      </c>
    </row>
    <row r="198" spans="1:19" ht="67.5" x14ac:dyDescent="0.25">
      <c r="A198" s="17" t="s">
        <v>1070</v>
      </c>
      <c r="B198" s="7" t="s">
        <v>1071</v>
      </c>
      <c r="C198" s="7" t="s">
        <v>1040</v>
      </c>
      <c r="D198" s="7" t="s">
        <v>1072</v>
      </c>
      <c r="E198" s="7" t="s">
        <v>688</v>
      </c>
      <c r="F198" s="7" t="s">
        <v>25</v>
      </c>
      <c r="G198" s="7" t="s">
        <v>24</v>
      </c>
      <c r="H198" s="8">
        <v>1000</v>
      </c>
      <c r="I198" s="7"/>
      <c r="J198" s="7"/>
      <c r="K198" s="7"/>
      <c r="L198" s="8"/>
      <c r="M198" s="8"/>
      <c r="N198" s="7"/>
      <c r="O198" s="7"/>
      <c r="P198" s="7" t="s">
        <v>87</v>
      </c>
      <c r="Q198" s="9">
        <v>46172</v>
      </c>
      <c r="R198" s="7" t="s">
        <v>290</v>
      </c>
      <c r="S198" s="10" t="s">
        <v>1073</v>
      </c>
    </row>
    <row r="199" spans="1:19" ht="81" x14ac:dyDescent="0.25">
      <c r="A199" s="17" t="s">
        <v>1074</v>
      </c>
      <c r="B199" s="7" t="s">
        <v>1075</v>
      </c>
      <c r="C199" s="7" t="s">
        <v>1040</v>
      </c>
      <c r="D199" s="7" t="s">
        <v>1076</v>
      </c>
      <c r="E199" s="7" t="s">
        <v>361</v>
      </c>
      <c r="F199" s="7" t="s">
        <v>25</v>
      </c>
      <c r="G199" s="7" t="s">
        <v>25</v>
      </c>
      <c r="H199" s="8">
        <v>1000</v>
      </c>
      <c r="I199" s="7"/>
      <c r="J199" s="7"/>
      <c r="K199" s="7"/>
      <c r="L199" s="8"/>
      <c r="M199" s="8"/>
      <c r="N199" s="7"/>
      <c r="O199" s="7"/>
      <c r="P199" s="7" t="s">
        <v>87</v>
      </c>
      <c r="Q199" s="9">
        <v>46108</v>
      </c>
      <c r="R199" s="7" t="s">
        <v>290</v>
      </c>
      <c r="S199" s="10" t="s">
        <v>1077</v>
      </c>
    </row>
    <row r="200" spans="1:19" ht="81" x14ac:dyDescent="0.25">
      <c r="A200" s="17" t="s">
        <v>1078</v>
      </c>
      <c r="B200" s="7" t="s">
        <v>1079</v>
      </c>
      <c r="C200" s="7" t="s">
        <v>1040</v>
      </c>
      <c r="D200" s="7" t="s">
        <v>1080</v>
      </c>
      <c r="E200" s="7" t="s">
        <v>361</v>
      </c>
      <c r="F200" s="7" t="s">
        <v>25</v>
      </c>
      <c r="G200" s="7" t="s">
        <v>25</v>
      </c>
      <c r="H200" s="8">
        <v>1000</v>
      </c>
      <c r="I200" s="7"/>
      <c r="J200" s="7"/>
      <c r="K200" s="7"/>
      <c r="L200" s="8"/>
      <c r="M200" s="8"/>
      <c r="N200" s="7"/>
      <c r="O200" s="7"/>
      <c r="P200" s="7" t="s">
        <v>87</v>
      </c>
      <c r="Q200" s="9">
        <v>46150</v>
      </c>
      <c r="R200" s="7" t="s">
        <v>290</v>
      </c>
      <c r="S200" s="10" t="s">
        <v>1081</v>
      </c>
    </row>
    <row r="201" spans="1:19" ht="81" x14ac:dyDescent="0.25">
      <c r="A201" s="17" t="s">
        <v>1082</v>
      </c>
      <c r="B201" s="7" t="s">
        <v>1083</v>
      </c>
      <c r="C201" s="7" t="s">
        <v>1040</v>
      </c>
      <c r="D201" s="7" t="s">
        <v>1084</v>
      </c>
      <c r="E201" s="7" t="s">
        <v>836</v>
      </c>
      <c r="F201" s="7" t="s">
        <v>25</v>
      </c>
      <c r="G201" s="7" t="s">
        <v>25</v>
      </c>
      <c r="H201" s="8">
        <v>2500</v>
      </c>
      <c r="I201" s="7"/>
      <c r="J201" s="7"/>
      <c r="K201" s="7"/>
      <c r="L201" s="8"/>
      <c r="M201" s="8"/>
      <c r="N201" s="7"/>
      <c r="O201" s="7"/>
      <c r="P201" s="7" t="s">
        <v>87</v>
      </c>
      <c r="Q201" s="9">
        <v>46149</v>
      </c>
      <c r="R201" s="7" t="s">
        <v>290</v>
      </c>
      <c r="S201" s="10" t="s">
        <v>1085</v>
      </c>
    </row>
    <row r="202" spans="1:19" ht="81" x14ac:dyDescent="0.25">
      <c r="A202" s="17" t="s">
        <v>1086</v>
      </c>
      <c r="B202" s="7" t="s">
        <v>1087</v>
      </c>
      <c r="C202" s="7" t="s">
        <v>1040</v>
      </c>
      <c r="D202" s="7" t="s">
        <v>1088</v>
      </c>
      <c r="E202" s="7" t="s">
        <v>1089</v>
      </c>
      <c r="F202" s="7" t="s">
        <v>25</v>
      </c>
      <c r="G202" s="7" t="s">
        <v>25</v>
      </c>
      <c r="H202" s="8">
        <v>20000</v>
      </c>
      <c r="I202" s="7"/>
      <c r="J202" s="7"/>
      <c r="K202" s="7"/>
      <c r="L202" s="8"/>
      <c r="M202" s="8"/>
      <c r="N202" s="7"/>
      <c r="O202" s="7"/>
      <c r="P202" s="7" t="s">
        <v>87</v>
      </c>
      <c r="Q202" s="9">
        <v>46109</v>
      </c>
      <c r="R202" s="7" t="s">
        <v>290</v>
      </c>
      <c r="S202" s="10" t="s">
        <v>1090</v>
      </c>
    </row>
    <row r="203" spans="1:19" ht="81" x14ac:dyDescent="0.25">
      <c r="A203" s="58" t="s">
        <v>1091</v>
      </c>
      <c r="B203" s="7" t="s">
        <v>1092</v>
      </c>
      <c r="C203" s="7" t="s">
        <v>1040</v>
      </c>
      <c r="D203" s="7" t="s">
        <v>1093</v>
      </c>
      <c r="E203" s="7" t="s">
        <v>1094</v>
      </c>
      <c r="F203" s="7" t="s">
        <v>25</v>
      </c>
      <c r="G203" s="7" t="s">
        <v>25</v>
      </c>
      <c r="H203" s="8">
        <v>2000</v>
      </c>
      <c r="I203" s="7"/>
      <c r="J203" s="7"/>
      <c r="K203" s="7"/>
      <c r="L203" s="8"/>
      <c r="M203" s="8"/>
      <c r="N203" s="7"/>
      <c r="O203" s="7"/>
      <c r="P203" s="7" t="s">
        <v>87</v>
      </c>
      <c r="Q203" s="9">
        <v>46097</v>
      </c>
      <c r="R203" s="7" t="s">
        <v>290</v>
      </c>
      <c r="S203" s="10" t="s">
        <v>1095</v>
      </c>
    </row>
    <row r="204" spans="1:19" ht="27" x14ac:dyDescent="0.25">
      <c r="A204" s="17" t="s">
        <v>1096</v>
      </c>
      <c r="B204" s="7" t="s">
        <v>1097</v>
      </c>
      <c r="C204" s="7" t="s">
        <v>816</v>
      </c>
      <c r="D204" s="7"/>
      <c r="E204" s="7"/>
      <c r="F204" s="7" t="s">
        <v>289</v>
      </c>
      <c r="G204" s="7" t="s">
        <v>289</v>
      </c>
      <c r="H204" s="8"/>
      <c r="I204" s="7"/>
      <c r="J204" s="7"/>
      <c r="K204" s="7"/>
      <c r="L204" s="8"/>
      <c r="M204" s="8"/>
      <c r="N204" s="7"/>
      <c r="O204" s="7"/>
      <c r="P204" s="7" t="s">
        <v>87</v>
      </c>
      <c r="Q204" s="9">
        <v>46185</v>
      </c>
      <c r="R204" s="7" t="s">
        <v>290</v>
      </c>
      <c r="S204" s="10" t="s">
        <v>1098</v>
      </c>
    </row>
    <row r="205" spans="1:19" ht="81" x14ac:dyDescent="0.25">
      <c r="A205" s="17" t="s">
        <v>1099</v>
      </c>
      <c r="B205" s="7" t="s">
        <v>1100</v>
      </c>
      <c r="C205" s="7" t="s">
        <v>1101</v>
      </c>
      <c r="D205" s="7" t="s">
        <v>1102</v>
      </c>
      <c r="E205" s="7" t="s">
        <v>651</v>
      </c>
      <c r="F205" s="7" t="s">
        <v>289</v>
      </c>
      <c r="G205" s="7" t="s">
        <v>289</v>
      </c>
      <c r="H205" s="8">
        <v>10</v>
      </c>
      <c r="I205" s="7"/>
      <c r="J205" s="7"/>
      <c r="K205" s="7"/>
      <c r="L205" s="8"/>
      <c r="M205" s="8"/>
      <c r="N205" s="7"/>
      <c r="O205" s="7"/>
      <c r="P205" s="7" t="s">
        <v>87</v>
      </c>
      <c r="Q205" s="9">
        <v>46097</v>
      </c>
      <c r="R205" s="7" t="s">
        <v>290</v>
      </c>
      <c r="S205" s="10" t="s">
        <v>1103</v>
      </c>
    </row>
    <row r="206" spans="1:19" ht="81" x14ac:dyDescent="0.25">
      <c r="A206" s="17" t="s">
        <v>1104</v>
      </c>
      <c r="B206" s="7" t="s">
        <v>1105</v>
      </c>
      <c r="C206" s="7" t="s">
        <v>1101</v>
      </c>
      <c r="D206" s="7" t="s">
        <v>1106</v>
      </c>
      <c r="E206" s="7" t="s">
        <v>1107</v>
      </c>
      <c r="F206" s="7" t="s">
        <v>289</v>
      </c>
      <c r="G206" s="7" t="s">
        <v>289</v>
      </c>
      <c r="H206" s="8">
        <v>8</v>
      </c>
      <c r="I206" s="7"/>
      <c r="J206" s="7"/>
      <c r="K206" s="7"/>
      <c r="L206" s="8"/>
      <c r="M206" s="8"/>
      <c r="N206" s="7"/>
      <c r="O206" s="7"/>
      <c r="P206" s="7" t="s">
        <v>87</v>
      </c>
      <c r="Q206" s="9">
        <v>46072</v>
      </c>
      <c r="R206" s="7" t="s">
        <v>290</v>
      </c>
      <c r="S206" s="10" t="s">
        <v>1108</v>
      </c>
    </row>
    <row r="207" spans="1:19" ht="40.5" x14ac:dyDescent="0.25">
      <c r="A207" s="17" t="s">
        <v>1109</v>
      </c>
      <c r="B207" s="7" t="s">
        <v>1110</v>
      </c>
      <c r="C207" s="7" t="s">
        <v>1111</v>
      </c>
      <c r="D207" s="7"/>
      <c r="E207" s="7"/>
      <c r="F207" s="7" t="s">
        <v>301</v>
      </c>
      <c r="G207" s="7" t="s">
        <v>301</v>
      </c>
      <c r="H207" s="8"/>
      <c r="I207" s="7"/>
      <c r="J207" s="7"/>
      <c r="K207" s="7"/>
      <c r="L207" s="8"/>
      <c r="M207" s="8"/>
      <c r="N207" s="7"/>
      <c r="O207" s="7"/>
      <c r="P207" s="7" t="s">
        <v>87</v>
      </c>
      <c r="Q207" s="9">
        <v>46097</v>
      </c>
      <c r="R207" s="7" t="s">
        <v>290</v>
      </c>
      <c r="S207" s="10" t="s">
        <v>1112</v>
      </c>
    </row>
    <row r="208" spans="1:19" ht="81" x14ac:dyDescent="0.25">
      <c r="A208" s="17" t="s">
        <v>1113</v>
      </c>
      <c r="B208" s="7" t="s">
        <v>1114</v>
      </c>
      <c r="C208" s="7" t="s">
        <v>431</v>
      </c>
      <c r="D208" s="7" t="s">
        <v>1115</v>
      </c>
      <c r="E208" s="7" t="s">
        <v>1116</v>
      </c>
      <c r="F208" s="7" t="s">
        <v>308</v>
      </c>
      <c r="G208" s="7" t="s">
        <v>308</v>
      </c>
      <c r="H208" s="8">
        <v>2000</v>
      </c>
      <c r="I208" s="7"/>
      <c r="J208" s="7"/>
      <c r="K208" s="7"/>
      <c r="L208" s="8"/>
      <c r="M208" s="8"/>
      <c r="N208" s="7"/>
      <c r="O208" s="7"/>
      <c r="P208" s="7" t="s">
        <v>87</v>
      </c>
      <c r="Q208" s="9">
        <v>46094</v>
      </c>
      <c r="R208" s="7" t="s">
        <v>290</v>
      </c>
      <c r="S208" s="10" t="s">
        <v>1117</v>
      </c>
    </row>
    <row r="209" spans="1:19" ht="67.5" x14ac:dyDescent="0.25">
      <c r="A209" s="17" t="s">
        <v>1118</v>
      </c>
      <c r="B209" s="7" t="s">
        <v>1119</v>
      </c>
      <c r="C209" s="7" t="s">
        <v>348</v>
      </c>
      <c r="D209" s="7" t="s">
        <v>1120</v>
      </c>
      <c r="E209" s="7" t="s">
        <v>1121</v>
      </c>
      <c r="F209" s="7" t="s">
        <v>289</v>
      </c>
      <c r="G209" s="7" t="s">
        <v>289</v>
      </c>
      <c r="H209" s="8">
        <v>12</v>
      </c>
      <c r="I209" s="7"/>
      <c r="J209" s="7"/>
      <c r="K209" s="7"/>
      <c r="L209" s="8"/>
      <c r="M209" s="8"/>
      <c r="N209" s="7"/>
      <c r="O209" s="7"/>
      <c r="P209" s="7" t="s">
        <v>87</v>
      </c>
      <c r="Q209" s="9">
        <v>46070</v>
      </c>
      <c r="R209" s="7" t="s">
        <v>290</v>
      </c>
      <c r="S209" s="10" t="s">
        <v>1122</v>
      </c>
    </row>
    <row r="210" spans="1:19" ht="81" x14ac:dyDescent="0.25">
      <c r="A210" s="17" t="s">
        <v>1123</v>
      </c>
      <c r="B210" s="7" t="s">
        <v>1124</v>
      </c>
      <c r="C210" s="7" t="s">
        <v>342</v>
      </c>
      <c r="D210" s="7" t="s">
        <v>1125</v>
      </c>
      <c r="E210" s="7" t="s">
        <v>1126</v>
      </c>
      <c r="F210" s="7" t="s">
        <v>308</v>
      </c>
      <c r="G210" s="7" t="s">
        <v>308</v>
      </c>
      <c r="H210" s="8">
        <v>400</v>
      </c>
      <c r="I210" s="7"/>
      <c r="J210" s="7"/>
      <c r="K210" s="7"/>
      <c r="L210" s="8"/>
      <c r="M210" s="8"/>
      <c r="N210" s="7"/>
      <c r="O210" s="7"/>
      <c r="P210" s="7" t="s">
        <v>87</v>
      </c>
      <c r="Q210" s="9">
        <v>46070</v>
      </c>
      <c r="R210" s="7" t="s">
        <v>290</v>
      </c>
      <c r="S210" s="10" t="s">
        <v>1127</v>
      </c>
    </row>
    <row r="211" spans="1:19" ht="67.5" x14ac:dyDescent="0.25">
      <c r="A211" s="17" t="s">
        <v>1128</v>
      </c>
      <c r="B211" s="7" t="s">
        <v>1129</v>
      </c>
      <c r="C211" s="7" t="s">
        <v>348</v>
      </c>
      <c r="D211" s="7" t="s">
        <v>1130</v>
      </c>
      <c r="E211" s="7" t="s">
        <v>1121</v>
      </c>
      <c r="F211" s="7" t="s">
        <v>289</v>
      </c>
      <c r="G211" s="7" t="s">
        <v>289</v>
      </c>
      <c r="H211" s="8">
        <v>12</v>
      </c>
      <c r="I211" s="7"/>
      <c r="J211" s="7"/>
      <c r="K211" s="7"/>
      <c r="L211" s="8"/>
      <c r="M211" s="8"/>
      <c r="N211" s="7"/>
      <c r="O211" s="7"/>
      <c r="P211" s="7" t="s">
        <v>87</v>
      </c>
      <c r="Q211" s="9">
        <v>46070</v>
      </c>
      <c r="R211" s="7" t="s">
        <v>290</v>
      </c>
      <c r="S211" s="10" t="s">
        <v>1131</v>
      </c>
    </row>
    <row r="212" spans="1:19" ht="81" x14ac:dyDescent="0.25">
      <c r="A212" s="17" t="s">
        <v>1132</v>
      </c>
      <c r="B212" s="7" t="s">
        <v>1133</v>
      </c>
      <c r="C212" s="7" t="s">
        <v>500</v>
      </c>
      <c r="D212" s="7" t="s">
        <v>1134</v>
      </c>
      <c r="E212" s="7" t="s">
        <v>361</v>
      </c>
      <c r="F212" s="7" t="s">
        <v>25</v>
      </c>
      <c r="G212" s="7" t="s">
        <v>25</v>
      </c>
      <c r="H212" s="8">
        <v>1000</v>
      </c>
      <c r="I212" s="7"/>
      <c r="J212" s="7"/>
      <c r="K212" s="7"/>
      <c r="L212" s="8"/>
      <c r="M212" s="8"/>
      <c r="N212" s="7"/>
      <c r="O212" s="7"/>
      <c r="P212" s="7" t="s">
        <v>87</v>
      </c>
      <c r="Q212" s="9">
        <v>46076</v>
      </c>
      <c r="R212" s="7" t="s">
        <v>290</v>
      </c>
      <c r="S212" s="10" t="s">
        <v>1135</v>
      </c>
    </row>
    <row r="213" spans="1:19" ht="40.5" x14ac:dyDescent="0.25">
      <c r="A213" s="17" t="s">
        <v>1136</v>
      </c>
      <c r="B213" s="7" t="s">
        <v>1137</v>
      </c>
      <c r="C213" s="7" t="s">
        <v>1138</v>
      </c>
      <c r="D213" s="7"/>
      <c r="E213" s="7"/>
      <c r="F213" s="7" t="s">
        <v>289</v>
      </c>
      <c r="G213" s="7" t="s">
        <v>289</v>
      </c>
      <c r="H213" s="8"/>
      <c r="I213" s="7"/>
      <c r="J213" s="7"/>
      <c r="K213" s="7"/>
      <c r="L213" s="8"/>
      <c r="M213" s="8"/>
      <c r="N213" s="7"/>
      <c r="O213" s="7"/>
      <c r="P213" s="7" t="s">
        <v>87</v>
      </c>
      <c r="Q213" s="9">
        <v>46097</v>
      </c>
      <c r="R213" s="7" t="s">
        <v>290</v>
      </c>
      <c r="S213" s="10" t="s">
        <v>1139</v>
      </c>
    </row>
    <row r="214" spans="1:19" ht="81" x14ac:dyDescent="0.25">
      <c r="A214" s="17" t="s">
        <v>1140</v>
      </c>
      <c r="B214" s="7" t="s">
        <v>1141</v>
      </c>
      <c r="C214" s="7" t="s">
        <v>1050</v>
      </c>
      <c r="D214" s="7" t="s">
        <v>1142</v>
      </c>
      <c r="E214" s="7" t="s">
        <v>361</v>
      </c>
      <c r="F214" s="7" t="s">
        <v>25</v>
      </c>
      <c r="G214" s="7" t="s">
        <v>25</v>
      </c>
      <c r="H214" s="8">
        <v>1000</v>
      </c>
      <c r="I214" s="7"/>
      <c r="J214" s="7"/>
      <c r="K214" s="7"/>
      <c r="L214" s="8"/>
      <c r="M214" s="8"/>
      <c r="N214" s="7"/>
      <c r="O214" s="7"/>
      <c r="P214" s="7" t="s">
        <v>87</v>
      </c>
      <c r="Q214" s="9">
        <v>46097</v>
      </c>
      <c r="R214" s="7" t="s">
        <v>290</v>
      </c>
      <c r="S214" s="10" t="s">
        <v>1143</v>
      </c>
    </row>
    <row r="215" spans="1:19" ht="81" x14ac:dyDescent="0.25">
      <c r="A215" s="17" t="s">
        <v>1144</v>
      </c>
      <c r="B215" s="7" t="s">
        <v>1145</v>
      </c>
      <c r="C215" s="7" t="s">
        <v>1040</v>
      </c>
      <c r="D215" s="7" t="s">
        <v>1146</v>
      </c>
      <c r="E215" s="7" t="s">
        <v>361</v>
      </c>
      <c r="F215" s="7" t="s">
        <v>25</v>
      </c>
      <c r="G215" s="7" t="s">
        <v>25</v>
      </c>
      <c r="H215" s="8">
        <v>1000</v>
      </c>
      <c r="I215" s="7"/>
      <c r="J215" s="7"/>
      <c r="K215" s="7"/>
      <c r="L215" s="8"/>
      <c r="M215" s="8"/>
      <c r="N215" s="7"/>
      <c r="O215" s="7"/>
      <c r="P215" s="7" t="s">
        <v>87</v>
      </c>
      <c r="Q215" s="9">
        <v>46149</v>
      </c>
      <c r="R215" s="7" t="s">
        <v>290</v>
      </c>
      <c r="S215" s="10" t="s">
        <v>1147</v>
      </c>
    </row>
    <row r="216" spans="1:19" ht="81" x14ac:dyDescent="0.25">
      <c r="A216" s="17" t="s">
        <v>1148</v>
      </c>
      <c r="B216" s="7" t="s">
        <v>1149</v>
      </c>
      <c r="C216" s="7" t="s">
        <v>1040</v>
      </c>
      <c r="D216" s="7" t="s">
        <v>1150</v>
      </c>
      <c r="E216" s="7" t="s">
        <v>361</v>
      </c>
      <c r="F216" s="7" t="s">
        <v>25</v>
      </c>
      <c r="G216" s="7" t="s">
        <v>25</v>
      </c>
      <c r="H216" s="8">
        <v>1000</v>
      </c>
      <c r="I216" s="7"/>
      <c r="J216" s="7"/>
      <c r="K216" s="7"/>
      <c r="L216" s="8"/>
      <c r="M216" s="8"/>
      <c r="N216" s="7"/>
      <c r="O216" s="7"/>
      <c r="P216" s="7" t="s">
        <v>87</v>
      </c>
      <c r="Q216" s="9">
        <v>46097</v>
      </c>
      <c r="R216" s="7" t="s">
        <v>290</v>
      </c>
      <c r="S216" s="10" t="s">
        <v>1151</v>
      </c>
    </row>
    <row r="217" spans="1:19" ht="81" x14ac:dyDescent="0.25">
      <c r="A217" s="17" t="s">
        <v>1152</v>
      </c>
      <c r="B217" s="7" t="s">
        <v>1153</v>
      </c>
      <c r="C217" s="7" t="s">
        <v>1154</v>
      </c>
      <c r="D217" s="7" t="s">
        <v>1155</v>
      </c>
      <c r="E217" s="7" t="s">
        <v>1156</v>
      </c>
      <c r="F217" s="7" t="s">
        <v>289</v>
      </c>
      <c r="G217" s="7" t="s">
        <v>289</v>
      </c>
      <c r="H217" s="8">
        <v>24</v>
      </c>
      <c r="I217" s="7"/>
      <c r="J217" s="7"/>
      <c r="K217" s="7"/>
      <c r="L217" s="8"/>
      <c r="M217" s="8"/>
      <c r="N217" s="7"/>
      <c r="O217" s="7"/>
      <c r="P217" s="7" t="s">
        <v>87</v>
      </c>
      <c r="Q217" s="9">
        <v>46097</v>
      </c>
      <c r="R217" s="7" t="s">
        <v>290</v>
      </c>
      <c r="S217" s="10" t="s">
        <v>1157</v>
      </c>
    </row>
    <row r="218" spans="1:19" ht="40.5" x14ac:dyDescent="0.25">
      <c r="A218" s="17" t="s">
        <v>1158</v>
      </c>
      <c r="B218" s="7" t="s">
        <v>1159</v>
      </c>
      <c r="C218" s="7" t="s">
        <v>596</v>
      </c>
      <c r="D218" s="7"/>
      <c r="E218" s="7"/>
      <c r="F218" s="7" t="s">
        <v>289</v>
      </c>
      <c r="G218" s="7" t="s">
        <v>289</v>
      </c>
      <c r="H218" s="8"/>
      <c r="I218" s="7"/>
      <c r="J218" s="7"/>
      <c r="K218" s="7"/>
      <c r="L218" s="8"/>
      <c r="M218" s="8"/>
      <c r="N218" s="7"/>
      <c r="O218" s="7"/>
      <c r="P218" s="7" t="s">
        <v>87</v>
      </c>
      <c r="Q218" s="9">
        <v>46192</v>
      </c>
      <c r="R218" s="7" t="s">
        <v>290</v>
      </c>
      <c r="S218" s="10" t="s">
        <v>1160</v>
      </c>
    </row>
    <row r="219" spans="1:19" ht="40.5" x14ac:dyDescent="0.25">
      <c r="A219" s="17" t="s">
        <v>1161</v>
      </c>
      <c r="B219" s="7" t="s">
        <v>1162</v>
      </c>
      <c r="C219" s="7" t="s">
        <v>596</v>
      </c>
      <c r="D219" s="7"/>
      <c r="E219" s="7"/>
      <c r="F219" s="7" t="s">
        <v>289</v>
      </c>
      <c r="G219" s="7" t="s">
        <v>289</v>
      </c>
      <c r="H219" s="8"/>
      <c r="I219" s="7"/>
      <c r="J219" s="7"/>
      <c r="K219" s="7"/>
      <c r="L219" s="8"/>
      <c r="M219" s="8"/>
      <c r="N219" s="7"/>
      <c r="O219" s="7"/>
      <c r="P219" s="7" t="s">
        <v>87</v>
      </c>
      <c r="Q219" s="9">
        <v>46192</v>
      </c>
      <c r="R219" s="7" t="s">
        <v>290</v>
      </c>
      <c r="S219" s="10" t="s">
        <v>1163</v>
      </c>
    </row>
    <row r="220" spans="1:19" ht="40.5" x14ac:dyDescent="0.25">
      <c r="A220" s="17" t="s">
        <v>1164</v>
      </c>
      <c r="B220" s="7" t="s">
        <v>1165</v>
      </c>
      <c r="C220" s="7" t="s">
        <v>596</v>
      </c>
      <c r="D220" s="7"/>
      <c r="E220" s="7"/>
      <c r="F220" s="7" t="s">
        <v>289</v>
      </c>
      <c r="G220" s="7" t="s">
        <v>289</v>
      </c>
      <c r="H220" s="8"/>
      <c r="I220" s="7"/>
      <c r="J220" s="7"/>
      <c r="K220" s="7"/>
      <c r="L220" s="8"/>
      <c r="M220" s="8"/>
      <c r="N220" s="7"/>
      <c r="O220" s="7"/>
      <c r="P220" s="7" t="s">
        <v>87</v>
      </c>
      <c r="Q220" s="9">
        <v>46192</v>
      </c>
      <c r="R220" s="7" t="s">
        <v>290</v>
      </c>
      <c r="S220" s="10" t="s">
        <v>1166</v>
      </c>
    </row>
    <row r="221" spans="1:19" ht="67.5" x14ac:dyDescent="0.25">
      <c r="A221" s="17" t="s">
        <v>1167</v>
      </c>
      <c r="B221" s="7" t="s">
        <v>1168</v>
      </c>
      <c r="C221" s="7" t="s">
        <v>407</v>
      </c>
      <c r="D221" s="7" t="s">
        <v>1169</v>
      </c>
      <c r="E221" s="7" t="s">
        <v>300</v>
      </c>
      <c r="F221" s="7" t="s">
        <v>24</v>
      </c>
      <c r="G221" s="7" t="s">
        <v>24</v>
      </c>
      <c r="H221" s="8">
        <v>1</v>
      </c>
      <c r="I221" s="7"/>
      <c r="J221" s="7"/>
      <c r="K221" s="7"/>
      <c r="L221" s="8"/>
      <c r="M221" s="8"/>
      <c r="N221" s="7"/>
      <c r="O221" s="7"/>
      <c r="P221" s="7" t="s">
        <v>87</v>
      </c>
      <c r="Q221" s="9">
        <v>46097</v>
      </c>
      <c r="R221" s="7" t="s">
        <v>290</v>
      </c>
      <c r="S221" s="10" t="s">
        <v>1170</v>
      </c>
    </row>
    <row r="222" spans="1:19" ht="67.5" x14ac:dyDescent="0.25">
      <c r="A222" s="17" t="s">
        <v>1171</v>
      </c>
      <c r="B222" s="7" t="s">
        <v>1172</v>
      </c>
      <c r="C222" s="7" t="s">
        <v>348</v>
      </c>
      <c r="D222" s="7" t="s">
        <v>1173</v>
      </c>
      <c r="E222" s="7" t="s">
        <v>355</v>
      </c>
      <c r="F222" s="7" t="s">
        <v>289</v>
      </c>
      <c r="G222" s="7" t="s">
        <v>289</v>
      </c>
      <c r="H222" s="8">
        <v>15</v>
      </c>
      <c r="I222" s="7"/>
      <c r="J222" s="7"/>
      <c r="K222" s="7"/>
      <c r="L222" s="8"/>
      <c r="M222" s="8"/>
      <c r="N222" s="7"/>
      <c r="O222" s="7"/>
      <c r="P222" s="7" t="s">
        <v>87</v>
      </c>
      <c r="Q222" s="9">
        <v>46126</v>
      </c>
      <c r="R222" s="7" t="s">
        <v>290</v>
      </c>
      <c r="S222" s="10" t="s">
        <v>1174</v>
      </c>
    </row>
    <row r="223" spans="1:19" ht="40.5" x14ac:dyDescent="0.25">
      <c r="A223" s="17" t="s">
        <v>1175</v>
      </c>
      <c r="B223" s="7" t="s">
        <v>1176</v>
      </c>
      <c r="C223" s="7" t="s">
        <v>288</v>
      </c>
      <c r="D223" s="7"/>
      <c r="E223" s="7"/>
      <c r="F223" s="7" t="s">
        <v>289</v>
      </c>
      <c r="G223" s="7" t="s">
        <v>289</v>
      </c>
      <c r="H223" s="8"/>
      <c r="I223" s="7"/>
      <c r="J223" s="7"/>
      <c r="K223" s="7"/>
      <c r="L223" s="8"/>
      <c r="M223" s="8"/>
      <c r="N223" s="7"/>
      <c r="O223" s="7"/>
      <c r="P223" s="7" t="s">
        <v>87</v>
      </c>
      <c r="Q223" s="9">
        <v>46143</v>
      </c>
      <c r="R223" s="7" t="s">
        <v>290</v>
      </c>
      <c r="S223" s="10" t="s">
        <v>1177</v>
      </c>
    </row>
    <row r="224" spans="1:19" ht="40.5" x14ac:dyDescent="0.25">
      <c r="A224" s="17" t="s">
        <v>1178</v>
      </c>
      <c r="B224" s="7" t="s">
        <v>1179</v>
      </c>
      <c r="C224" s="7" t="s">
        <v>288</v>
      </c>
      <c r="D224" s="7"/>
      <c r="E224" s="7"/>
      <c r="F224" s="7" t="s">
        <v>289</v>
      </c>
      <c r="G224" s="7" t="s">
        <v>289</v>
      </c>
      <c r="H224" s="8"/>
      <c r="I224" s="7"/>
      <c r="J224" s="7"/>
      <c r="K224" s="7"/>
      <c r="L224" s="8"/>
      <c r="M224" s="8"/>
      <c r="N224" s="7"/>
      <c r="O224" s="7"/>
      <c r="P224" s="7" t="s">
        <v>87</v>
      </c>
      <c r="Q224" s="9">
        <v>46143</v>
      </c>
      <c r="R224" s="7" t="s">
        <v>290</v>
      </c>
      <c r="S224" s="10" t="s">
        <v>1180</v>
      </c>
    </row>
    <row r="225" spans="1:19" ht="40.5" x14ac:dyDescent="0.25">
      <c r="A225" s="17" t="s">
        <v>1181</v>
      </c>
      <c r="B225" s="7" t="s">
        <v>1182</v>
      </c>
      <c r="C225" s="7" t="s">
        <v>288</v>
      </c>
      <c r="D225" s="7"/>
      <c r="E225" s="7"/>
      <c r="F225" s="7" t="s">
        <v>289</v>
      </c>
      <c r="G225" s="7" t="s">
        <v>289</v>
      </c>
      <c r="H225" s="8"/>
      <c r="I225" s="7"/>
      <c r="J225" s="7"/>
      <c r="K225" s="7"/>
      <c r="L225" s="8"/>
      <c r="M225" s="8"/>
      <c r="N225" s="7"/>
      <c r="O225" s="7"/>
      <c r="P225" s="7" t="s">
        <v>87</v>
      </c>
      <c r="Q225" s="9">
        <v>46143</v>
      </c>
      <c r="R225" s="7" t="s">
        <v>290</v>
      </c>
      <c r="S225" s="10" t="s">
        <v>1183</v>
      </c>
    </row>
    <row r="226" spans="1:19" ht="40.5" x14ac:dyDescent="0.25">
      <c r="A226" s="17" t="s">
        <v>1184</v>
      </c>
      <c r="B226" s="7" t="s">
        <v>1185</v>
      </c>
      <c r="C226" s="7" t="s">
        <v>288</v>
      </c>
      <c r="D226" s="7"/>
      <c r="E226" s="7"/>
      <c r="F226" s="7" t="s">
        <v>289</v>
      </c>
      <c r="G226" s="7" t="s">
        <v>289</v>
      </c>
      <c r="H226" s="8"/>
      <c r="I226" s="7"/>
      <c r="J226" s="7"/>
      <c r="K226" s="7"/>
      <c r="L226" s="8"/>
      <c r="M226" s="8"/>
      <c r="N226" s="7"/>
      <c r="O226" s="7"/>
      <c r="P226" s="7" t="s">
        <v>87</v>
      </c>
      <c r="Q226" s="9">
        <v>46221</v>
      </c>
      <c r="R226" s="7" t="s">
        <v>290</v>
      </c>
      <c r="S226" s="10" t="s">
        <v>1186</v>
      </c>
    </row>
    <row r="227" spans="1:19" ht="67.5" x14ac:dyDescent="0.25">
      <c r="A227" s="17" t="s">
        <v>1187</v>
      </c>
      <c r="B227" s="7" t="s">
        <v>1188</v>
      </c>
      <c r="C227" s="7" t="s">
        <v>1138</v>
      </c>
      <c r="D227" s="7" t="s">
        <v>1189</v>
      </c>
      <c r="E227" s="7" t="s">
        <v>300</v>
      </c>
      <c r="F227" s="7" t="s">
        <v>24</v>
      </c>
      <c r="G227" s="7" t="s">
        <v>24</v>
      </c>
      <c r="H227" s="8">
        <v>1</v>
      </c>
      <c r="I227" s="7"/>
      <c r="J227" s="7"/>
      <c r="K227" s="7"/>
      <c r="L227" s="8"/>
      <c r="M227" s="8"/>
      <c r="N227" s="7"/>
      <c r="O227" s="7"/>
      <c r="P227" s="7" t="s">
        <v>87</v>
      </c>
      <c r="Q227" s="9">
        <v>46097</v>
      </c>
      <c r="R227" s="7" t="s">
        <v>290</v>
      </c>
      <c r="S227" s="10" t="s">
        <v>1190</v>
      </c>
    </row>
    <row r="228" spans="1:19" ht="40.5" x14ac:dyDescent="0.25">
      <c r="A228" s="17" t="s">
        <v>1191</v>
      </c>
      <c r="B228" s="7" t="s">
        <v>1192</v>
      </c>
      <c r="C228" s="7" t="s">
        <v>596</v>
      </c>
      <c r="D228" s="7"/>
      <c r="E228" s="7"/>
      <c r="F228" s="7" t="s">
        <v>289</v>
      </c>
      <c r="G228" s="7" t="s">
        <v>289</v>
      </c>
      <c r="H228" s="8"/>
      <c r="I228" s="7"/>
      <c r="J228" s="7"/>
      <c r="K228" s="7"/>
      <c r="L228" s="8"/>
      <c r="M228" s="8"/>
      <c r="N228" s="7"/>
      <c r="O228" s="7"/>
      <c r="P228" s="7" t="s">
        <v>87</v>
      </c>
      <c r="Q228" s="9">
        <v>46213</v>
      </c>
      <c r="R228" s="7" t="s">
        <v>290</v>
      </c>
      <c r="S228" s="10" t="s">
        <v>1193</v>
      </c>
    </row>
    <row r="229" spans="1:19" ht="40.5" x14ac:dyDescent="0.25">
      <c r="A229" s="17" t="s">
        <v>1194</v>
      </c>
      <c r="B229" s="7" t="s">
        <v>1195</v>
      </c>
      <c r="C229" s="7" t="s">
        <v>378</v>
      </c>
      <c r="D229" s="7"/>
      <c r="E229" s="7"/>
      <c r="F229" s="7" t="s">
        <v>289</v>
      </c>
      <c r="G229" s="7" t="s">
        <v>289</v>
      </c>
      <c r="H229" s="8"/>
      <c r="I229" s="7"/>
      <c r="J229" s="7"/>
      <c r="K229" s="7"/>
      <c r="L229" s="8"/>
      <c r="M229" s="8"/>
      <c r="N229" s="7"/>
      <c r="O229" s="7"/>
      <c r="P229" s="7" t="s">
        <v>87</v>
      </c>
      <c r="Q229" s="9">
        <v>46221</v>
      </c>
      <c r="R229" s="7" t="s">
        <v>290</v>
      </c>
      <c r="S229" s="10" t="s">
        <v>1196</v>
      </c>
    </row>
    <row r="230" spans="1:19" ht="40.5" x14ac:dyDescent="0.25">
      <c r="A230" s="17" t="s">
        <v>1197</v>
      </c>
      <c r="B230" s="7" t="s">
        <v>1198</v>
      </c>
      <c r="C230" s="7" t="s">
        <v>288</v>
      </c>
      <c r="D230" s="7"/>
      <c r="E230" s="7"/>
      <c r="F230" s="7" t="s">
        <v>289</v>
      </c>
      <c r="G230" s="7" t="s">
        <v>289</v>
      </c>
      <c r="H230" s="8"/>
      <c r="I230" s="7"/>
      <c r="J230" s="7"/>
      <c r="K230" s="7"/>
      <c r="L230" s="8"/>
      <c r="M230" s="8"/>
      <c r="N230" s="7"/>
      <c r="O230" s="7"/>
      <c r="P230" s="7" t="s">
        <v>87</v>
      </c>
      <c r="Q230" s="9">
        <v>46143</v>
      </c>
      <c r="R230" s="7" t="s">
        <v>290</v>
      </c>
      <c r="S230" s="10" t="s">
        <v>1199</v>
      </c>
    </row>
    <row r="231" spans="1:19" ht="40.5" x14ac:dyDescent="0.25">
      <c r="A231" s="17" t="s">
        <v>1200</v>
      </c>
      <c r="B231" s="7" t="s">
        <v>1201</v>
      </c>
      <c r="C231" s="7" t="s">
        <v>288</v>
      </c>
      <c r="D231" s="7"/>
      <c r="E231" s="7"/>
      <c r="F231" s="7" t="s">
        <v>289</v>
      </c>
      <c r="G231" s="7" t="s">
        <v>289</v>
      </c>
      <c r="H231" s="8"/>
      <c r="I231" s="7"/>
      <c r="J231" s="7"/>
      <c r="K231" s="7"/>
      <c r="L231" s="8"/>
      <c r="M231" s="8"/>
      <c r="N231" s="7"/>
      <c r="O231" s="7"/>
      <c r="P231" s="7" t="s">
        <v>87</v>
      </c>
      <c r="Q231" s="9">
        <v>46143</v>
      </c>
      <c r="R231" s="7" t="s">
        <v>290</v>
      </c>
      <c r="S231" s="10" t="s">
        <v>1202</v>
      </c>
    </row>
    <row r="232" spans="1:19" ht="81" x14ac:dyDescent="0.25">
      <c r="A232" s="17" t="s">
        <v>1203</v>
      </c>
      <c r="B232" s="7" t="s">
        <v>1204</v>
      </c>
      <c r="C232" s="7" t="s">
        <v>1050</v>
      </c>
      <c r="D232" s="7" t="s">
        <v>1205</v>
      </c>
      <c r="E232" s="7" t="s">
        <v>1206</v>
      </c>
      <c r="F232" s="7" t="s">
        <v>289</v>
      </c>
      <c r="G232" s="7" t="s">
        <v>289</v>
      </c>
      <c r="H232" s="8">
        <v>10</v>
      </c>
      <c r="I232" s="7"/>
      <c r="J232" s="7"/>
      <c r="K232" s="7"/>
      <c r="L232" s="8"/>
      <c r="M232" s="8"/>
      <c r="N232" s="7"/>
      <c r="O232" s="7"/>
      <c r="P232" s="7" t="s">
        <v>87</v>
      </c>
      <c r="Q232" s="9">
        <v>46097</v>
      </c>
      <c r="R232" s="7" t="s">
        <v>290</v>
      </c>
      <c r="S232" s="10" t="s">
        <v>1207</v>
      </c>
    </row>
    <row r="233" spans="1:19" ht="54" x14ac:dyDescent="0.25">
      <c r="A233" s="17" t="s">
        <v>1208</v>
      </c>
      <c r="B233" s="7" t="s">
        <v>1209</v>
      </c>
      <c r="C233" s="7" t="s">
        <v>437</v>
      </c>
      <c r="D233" s="7" t="s">
        <v>1210</v>
      </c>
      <c r="E233" s="7" t="s">
        <v>439</v>
      </c>
      <c r="F233" s="7" t="s">
        <v>289</v>
      </c>
      <c r="G233" s="7" t="s">
        <v>289</v>
      </c>
      <c r="H233" s="8">
        <v>1</v>
      </c>
      <c r="I233" s="7"/>
      <c r="J233" s="7"/>
      <c r="K233" s="7"/>
      <c r="L233" s="8"/>
      <c r="M233" s="8"/>
      <c r="N233" s="7"/>
      <c r="O233" s="7"/>
      <c r="P233" s="7" t="s">
        <v>87</v>
      </c>
      <c r="Q233" s="9">
        <v>46105</v>
      </c>
      <c r="R233" s="7" t="s">
        <v>290</v>
      </c>
      <c r="S233" s="10" t="s">
        <v>1211</v>
      </c>
    </row>
    <row r="234" spans="1:19" ht="40.5" x14ac:dyDescent="0.25">
      <c r="A234" s="17" t="s">
        <v>1212</v>
      </c>
      <c r="B234" s="7" t="s">
        <v>1213</v>
      </c>
      <c r="C234" s="7" t="s">
        <v>378</v>
      </c>
      <c r="D234" s="7"/>
      <c r="E234" s="7"/>
      <c r="F234" s="7" t="s">
        <v>289</v>
      </c>
      <c r="G234" s="7" t="s">
        <v>289</v>
      </c>
      <c r="H234" s="8"/>
      <c r="I234" s="7"/>
      <c r="J234" s="7"/>
      <c r="K234" s="7"/>
      <c r="L234" s="8"/>
      <c r="M234" s="8"/>
      <c r="N234" s="7"/>
      <c r="O234" s="7"/>
      <c r="P234" s="7" t="s">
        <v>87</v>
      </c>
      <c r="Q234" s="9">
        <v>46192</v>
      </c>
      <c r="R234" s="7" t="s">
        <v>290</v>
      </c>
      <c r="S234" s="10" t="s">
        <v>1214</v>
      </c>
    </row>
    <row r="235" spans="1:19" ht="40.5" x14ac:dyDescent="0.25">
      <c r="A235" s="17" t="s">
        <v>1215</v>
      </c>
      <c r="B235" s="7" t="s">
        <v>1216</v>
      </c>
      <c r="C235" s="7" t="s">
        <v>378</v>
      </c>
      <c r="D235" s="7"/>
      <c r="E235" s="7"/>
      <c r="F235" s="7" t="s">
        <v>289</v>
      </c>
      <c r="G235" s="7" t="s">
        <v>289</v>
      </c>
      <c r="H235" s="8"/>
      <c r="I235" s="7"/>
      <c r="J235" s="7"/>
      <c r="K235" s="7"/>
      <c r="L235" s="8"/>
      <c r="M235" s="8"/>
      <c r="N235" s="7"/>
      <c r="O235" s="7"/>
      <c r="P235" s="7" t="s">
        <v>87</v>
      </c>
      <c r="Q235" s="9">
        <v>46192</v>
      </c>
      <c r="R235" s="7" t="s">
        <v>290</v>
      </c>
      <c r="S235" s="10" t="s">
        <v>1217</v>
      </c>
    </row>
    <row r="236" spans="1:19" ht="40.5" x14ac:dyDescent="0.25">
      <c r="A236" s="17" t="s">
        <v>1218</v>
      </c>
      <c r="B236" s="7" t="s">
        <v>1219</v>
      </c>
      <c r="C236" s="7" t="s">
        <v>596</v>
      </c>
      <c r="D236" s="7"/>
      <c r="E236" s="7"/>
      <c r="F236" s="7" t="s">
        <v>289</v>
      </c>
      <c r="G236" s="7" t="s">
        <v>289</v>
      </c>
      <c r="H236" s="8"/>
      <c r="I236" s="7"/>
      <c r="J236" s="7"/>
      <c r="K236" s="7"/>
      <c r="L236" s="8"/>
      <c r="M236" s="8"/>
      <c r="N236" s="7"/>
      <c r="O236" s="7"/>
      <c r="P236" s="7" t="s">
        <v>87</v>
      </c>
      <c r="Q236" s="9">
        <v>46192</v>
      </c>
      <c r="R236" s="7" t="s">
        <v>290</v>
      </c>
      <c r="S236" s="10" t="s">
        <v>1220</v>
      </c>
    </row>
    <row r="237" spans="1:19" ht="40.5" x14ac:dyDescent="0.25">
      <c r="A237" s="17" t="s">
        <v>1221</v>
      </c>
      <c r="B237" s="7" t="s">
        <v>1222</v>
      </c>
      <c r="C237" s="7" t="s">
        <v>288</v>
      </c>
      <c r="D237" s="7"/>
      <c r="E237" s="7"/>
      <c r="F237" s="7" t="s">
        <v>289</v>
      </c>
      <c r="G237" s="7" t="s">
        <v>289</v>
      </c>
      <c r="H237" s="8"/>
      <c r="I237" s="7"/>
      <c r="J237" s="7"/>
      <c r="K237" s="7"/>
      <c r="L237" s="8"/>
      <c r="M237" s="8"/>
      <c r="N237" s="7"/>
      <c r="O237" s="7"/>
      <c r="P237" s="7" t="s">
        <v>87</v>
      </c>
      <c r="Q237" s="9">
        <v>46143</v>
      </c>
      <c r="R237" s="7" t="s">
        <v>290</v>
      </c>
      <c r="S237" s="10" t="s">
        <v>1223</v>
      </c>
    </row>
    <row r="238" spans="1:19" ht="40.5" x14ac:dyDescent="0.25">
      <c r="A238" s="17" t="s">
        <v>1224</v>
      </c>
      <c r="B238" s="7" t="s">
        <v>1225</v>
      </c>
      <c r="C238" s="7" t="s">
        <v>288</v>
      </c>
      <c r="D238" s="7"/>
      <c r="E238" s="7"/>
      <c r="F238" s="7" t="s">
        <v>289</v>
      </c>
      <c r="G238" s="7" t="s">
        <v>289</v>
      </c>
      <c r="H238" s="8"/>
      <c r="I238" s="7"/>
      <c r="J238" s="7"/>
      <c r="K238" s="7"/>
      <c r="L238" s="8"/>
      <c r="M238" s="8"/>
      <c r="N238" s="7"/>
      <c r="O238" s="7"/>
      <c r="P238" s="7" t="s">
        <v>87</v>
      </c>
      <c r="Q238" s="9">
        <v>46143</v>
      </c>
      <c r="R238" s="7" t="s">
        <v>290</v>
      </c>
      <c r="S238" s="10" t="s">
        <v>1226</v>
      </c>
    </row>
    <row r="239" spans="1:19" ht="40.5" x14ac:dyDescent="0.25">
      <c r="A239" s="17" t="s">
        <v>1227</v>
      </c>
      <c r="B239" s="7" t="s">
        <v>1228</v>
      </c>
      <c r="C239" s="7" t="s">
        <v>288</v>
      </c>
      <c r="D239" s="7"/>
      <c r="E239" s="7"/>
      <c r="F239" s="7" t="s">
        <v>289</v>
      </c>
      <c r="G239" s="7" t="s">
        <v>289</v>
      </c>
      <c r="H239" s="8"/>
      <c r="I239" s="7"/>
      <c r="J239" s="7"/>
      <c r="K239" s="7"/>
      <c r="L239" s="8"/>
      <c r="M239" s="8"/>
      <c r="N239" s="7"/>
      <c r="O239" s="7"/>
      <c r="P239" s="7" t="s">
        <v>87</v>
      </c>
      <c r="Q239" s="9">
        <v>46143</v>
      </c>
      <c r="R239" s="7" t="s">
        <v>290</v>
      </c>
      <c r="S239" s="10" t="s">
        <v>1229</v>
      </c>
    </row>
    <row r="240" spans="1:19" ht="67.5" x14ac:dyDescent="0.25">
      <c r="A240" s="17" t="s">
        <v>1230</v>
      </c>
      <c r="B240" s="7" t="s">
        <v>1231</v>
      </c>
      <c r="C240" s="7" t="s">
        <v>774</v>
      </c>
      <c r="D240" s="7" t="s">
        <v>1232</v>
      </c>
      <c r="E240" s="7" t="s">
        <v>688</v>
      </c>
      <c r="F240" s="7" t="s">
        <v>25</v>
      </c>
      <c r="G240" s="7" t="s">
        <v>24</v>
      </c>
      <c r="H240" s="8">
        <v>1000</v>
      </c>
      <c r="I240" s="7"/>
      <c r="J240" s="7"/>
      <c r="K240" s="7"/>
      <c r="L240" s="8"/>
      <c r="M240" s="8"/>
      <c r="N240" s="7"/>
      <c r="O240" s="7"/>
      <c r="P240" s="7" t="s">
        <v>87</v>
      </c>
      <c r="Q240" s="9">
        <v>46172</v>
      </c>
      <c r="R240" s="7" t="s">
        <v>290</v>
      </c>
      <c r="S240" s="10" t="s">
        <v>1233</v>
      </c>
    </row>
    <row r="241" spans="1:19" ht="67.5" x14ac:dyDescent="0.25">
      <c r="A241" s="17" t="s">
        <v>1234</v>
      </c>
      <c r="B241" s="7" t="s">
        <v>1235</v>
      </c>
      <c r="C241" s="7" t="s">
        <v>1236</v>
      </c>
      <c r="D241" s="7" t="s">
        <v>1237</v>
      </c>
      <c r="E241" s="7" t="s">
        <v>300</v>
      </c>
      <c r="F241" s="7" t="s">
        <v>289</v>
      </c>
      <c r="G241" s="7" t="s">
        <v>289</v>
      </c>
      <c r="H241" s="8">
        <v>1</v>
      </c>
      <c r="I241" s="7"/>
      <c r="J241" s="7"/>
      <c r="K241" s="7"/>
      <c r="L241" s="8"/>
      <c r="M241" s="8"/>
      <c r="N241" s="7"/>
      <c r="O241" s="7"/>
      <c r="P241" s="7" t="s">
        <v>87</v>
      </c>
      <c r="Q241" s="9">
        <v>46097</v>
      </c>
      <c r="R241" s="7" t="s">
        <v>290</v>
      </c>
      <c r="S241" s="10" t="s">
        <v>1238</v>
      </c>
    </row>
    <row r="242" spans="1:19" ht="27" x14ac:dyDescent="0.25">
      <c r="A242" s="17" t="s">
        <v>1239</v>
      </c>
      <c r="B242" s="7" t="s">
        <v>1240</v>
      </c>
      <c r="C242" s="7" t="s">
        <v>701</v>
      </c>
      <c r="D242" s="7"/>
      <c r="E242" s="7"/>
      <c r="F242" s="7" t="s">
        <v>289</v>
      </c>
      <c r="G242" s="7" t="s">
        <v>289</v>
      </c>
      <c r="H242" s="8"/>
      <c r="I242" s="7"/>
      <c r="J242" s="7"/>
      <c r="K242" s="7"/>
      <c r="L242" s="8"/>
      <c r="M242" s="8"/>
      <c r="N242" s="7"/>
      <c r="O242" s="7"/>
      <c r="P242" s="7" t="s">
        <v>87</v>
      </c>
      <c r="Q242" s="9">
        <v>46185</v>
      </c>
      <c r="R242" s="7" t="s">
        <v>290</v>
      </c>
      <c r="S242" s="10" t="s">
        <v>1241</v>
      </c>
    </row>
    <row r="243" spans="1:19" ht="81" x14ac:dyDescent="0.25">
      <c r="A243" s="17" t="s">
        <v>1242</v>
      </c>
      <c r="B243" s="7" t="s">
        <v>1243</v>
      </c>
      <c r="C243" s="7" t="s">
        <v>511</v>
      </c>
      <c r="D243" s="7" t="s">
        <v>1244</v>
      </c>
      <c r="E243" s="7" t="s">
        <v>361</v>
      </c>
      <c r="F243" s="7" t="s">
        <v>25</v>
      </c>
      <c r="G243" s="7" t="s">
        <v>25</v>
      </c>
      <c r="H243" s="8">
        <v>1000</v>
      </c>
      <c r="I243" s="7"/>
      <c r="J243" s="7"/>
      <c r="K243" s="7"/>
      <c r="L243" s="8"/>
      <c r="M243" s="8"/>
      <c r="N243" s="7"/>
      <c r="O243" s="7"/>
      <c r="P243" s="7" t="s">
        <v>87</v>
      </c>
      <c r="Q243" s="9">
        <v>46149</v>
      </c>
      <c r="R243" s="7" t="s">
        <v>290</v>
      </c>
      <c r="S243" s="10" t="s">
        <v>1245</v>
      </c>
    </row>
    <row r="244" spans="1:19" ht="81" x14ac:dyDescent="0.25">
      <c r="A244" s="17" t="s">
        <v>1246</v>
      </c>
      <c r="B244" s="7" t="s">
        <v>1247</v>
      </c>
      <c r="C244" s="7" t="s">
        <v>1248</v>
      </c>
      <c r="D244" s="7" t="s">
        <v>1249</v>
      </c>
      <c r="E244" s="7" t="s">
        <v>1250</v>
      </c>
      <c r="F244" s="7" t="s">
        <v>25</v>
      </c>
      <c r="G244" s="7" t="s">
        <v>25</v>
      </c>
      <c r="H244" s="8">
        <v>870</v>
      </c>
      <c r="I244" s="7"/>
      <c r="J244" s="7"/>
      <c r="K244" s="7"/>
      <c r="L244" s="8"/>
      <c r="M244" s="8"/>
      <c r="N244" s="7"/>
      <c r="O244" s="7"/>
      <c r="P244" s="7" t="s">
        <v>87</v>
      </c>
      <c r="Q244" s="9">
        <v>46103</v>
      </c>
      <c r="R244" s="7" t="s">
        <v>290</v>
      </c>
      <c r="S244" s="10" t="s">
        <v>1251</v>
      </c>
    </row>
    <row r="245" spans="1:19" ht="40.5" x14ac:dyDescent="0.25">
      <c r="A245" s="17" t="s">
        <v>1252</v>
      </c>
      <c r="B245" s="7" t="s">
        <v>1253</v>
      </c>
      <c r="C245" s="7" t="s">
        <v>1254</v>
      </c>
      <c r="D245" s="7"/>
      <c r="E245" s="7"/>
      <c r="F245" s="7" t="s">
        <v>308</v>
      </c>
      <c r="G245" s="7" t="s">
        <v>308</v>
      </c>
      <c r="H245" s="8"/>
      <c r="I245" s="7"/>
      <c r="J245" s="7"/>
      <c r="K245" s="7"/>
      <c r="L245" s="8"/>
      <c r="M245" s="8"/>
      <c r="N245" s="7"/>
      <c r="O245" s="7"/>
      <c r="P245" s="7" t="s">
        <v>87</v>
      </c>
      <c r="Q245" s="9">
        <v>46097</v>
      </c>
      <c r="R245" s="7" t="s">
        <v>290</v>
      </c>
      <c r="S245" s="10" t="s">
        <v>1255</v>
      </c>
    </row>
    <row r="246" spans="1:19" ht="40.5" x14ac:dyDescent="0.25">
      <c r="A246" s="17" t="s">
        <v>1256</v>
      </c>
      <c r="B246" s="7" t="s">
        <v>1257</v>
      </c>
      <c r="C246" s="7" t="s">
        <v>298</v>
      </c>
      <c r="D246" s="7"/>
      <c r="E246" s="7"/>
      <c r="F246" s="7" t="s">
        <v>25</v>
      </c>
      <c r="G246" s="7" t="s">
        <v>25</v>
      </c>
      <c r="H246" s="8"/>
      <c r="I246" s="7"/>
      <c r="J246" s="7"/>
      <c r="K246" s="7"/>
      <c r="L246" s="8"/>
      <c r="M246" s="8"/>
      <c r="N246" s="7"/>
      <c r="O246" s="7"/>
      <c r="P246" s="7" t="s">
        <v>87</v>
      </c>
      <c r="Q246" s="9">
        <v>46112</v>
      </c>
      <c r="R246" s="7" t="s">
        <v>290</v>
      </c>
      <c r="S246" s="10" t="s">
        <v>1258</v>
      </c>
    </row>
    <row r="247" spans="1:19" ht="81" x14ac:dyDescent="0.25">
      <c r="A247" s="17" t="s">
        <v>1259</v>
      </c>
      <c r="B247" s="7" t="s">
        <v>1260</v>
      </c>
      <c r="C247" s="7" t="s">
        <v>481</v>
      </c>
      <c r="D247" s="7" t="s">
        <v>1261</v>
      </c>
      <c r="E247" s="7" t="s">
        <v>496</v>
      </c>
      <c r="F247" s="7" t="s">
        <v>308</v>
      </c>
      <c r="G247" s="7" t="s">
        <v>308</v>
      </c>
      <c r="H247" s="8">
        <v>750</v>
      </c>
      <c r="I247" s="7"/>
      <c r="J247" s="7"/>
      <c r="K247" s="7"/>
      <c r="L247" s="8"/>
      <c r="M247" s="8"/>
      <c r="N247" s="7"/>
      <c r="O247" s="7"/>
      <c r="P247" s="7" t="s">
        <v>87</v>
      </c>
      <c r="Q247" s="9">
        <v>46097</v>
      </c>
      <c r="R247" s="7" t="s">
        <v>290</v>
      </c>
      <c r="S247" s="10" t="s">
        <v>1262</v>
      </c>
    </row>
    <row r="248" spans="1:19" ht="40.5" x14ac:dyDescent="0.25">
      <c r="A248" s="17" t="s">
        <v>1263</v>
      </c>
      <c r="B248" s="7" t="s">
        <v>1264</v>
      </c>
      <c r="C248" s="7" t="s">
        <v>1254</v>
      </c>
      <c r="D248" s="7"/>
      <c r="E248" s="7"/>
      <c r="F248" s="7" t="s">
        <v>25</v>
      </c>
      <c r="G248" s="7" t="s">
        <v>25</v>
      </c>
      <c r="H248" s="8"/>
      <c r="I248" s="7"/>
      <c r="J248" s="7"/>
      <c r="K248" s="7"/>
      <c r="L248" s="8"/>
      <c r="M248" s="8"/>
      <c r="N248" s="7"/>
      <c r="O248" s="7"/>
      <c r="P248" s="7" t="s">
        <v>87</v>
      </c>
      <c r="Q248" s="9">
        <v>46133</v>
      </c>
      <c r="R248" s="7" t="s">
        <v>290</v>
      </c>
      <c r="S248" s="10" t="s">
        <v>1265</v>
      </c>
    </row>
    <row r="249" spans="1:19" ht="27" x14ac:dyDescent="0.25">
      <c r="A249" s="17" t="s">
        <v>1266</v>
      </c>
      <c r="B249" s="7" t="s">
        <v>1267</v>
      </c>
      <c r="C249" s="7" t="s">
        <v>294</v>
      </c>
      <c r="D249" s="7"/>
      <c r="E249" s="7"/>
      <c r="F249" s="7" t="s">
        <v>289</v>
      </c>
      <c r="G249" s="7" t="s">
        <v>289</v>
      </c>
      <c r="H249" s="8"/>
      <c r="I249" s="7"/>
      <c r="J249" s="7"/>
      <c r="K249" s="7"/>
      <c r="L249" s="8"/>
      <c r="M249" s="8"/>
      <c r="N249" s="7"/>
      <c r="O249" s="7"/>
      <c r="P249" s="7" t="s">
        <v>87</v>
      </c>
      <c r="Q249" s="9">
        <v>46091</v>
      </c>
      <c r="R249" s="7" t="s">
        <v>290</v>
      </c>
      <c r="S249" s="10" t="s">
        <v>1268</v>
      </c>
    </row>
    <row r="250" spans="1:19" ht="54" x14ac:dyDescent="0.25">
      <c r="A250" s="17" t="s">
        <v>1269</v>
      </c>
      <c r="B250" s="7" t="s">
        <v>1270</v>
      </c>
      <c r="C250" s="7" t="s">
        <v>294</v>
      </c>
      <c r="D250" s="7" t="s">
        <v>1271</v>
      </c>
      <c r="E250" s="7" t="s">
        <v>439</v>
      </c>
      <c r="F250" s="7" t="s">
        <v>289</v>
      </c>
      <c r="G250" s="7" t="s">
        <v>289</v>
      </c>
      <c r="H250" s="8">
        <v>1</v>
      </c>
      <c r="I250" s="7"/>
      <c r="J250" s="7"/>
      <c r="K250" s="7"/>
      <c r="L250" s="8"/>
      <c r="M250" s="8"/>
      <c r="N250" s="7"/>
      <c r="O250" s="7"/>
      <c r="P250" s="7" t="s">
        <v>87</v>
      </c>
      <c r="Q250" s="9">
        <v>46105</v>
      </c>
      <c r="R250" s="7" t="s">
        <v>290</v>
      </c>
      <c r="S250" s="10" t="s">
        <v>1272</v>
      </c>
    </row>
    <row r="251" spans="1:19" ht="27" x14ac:dyDescent="0.25">
      <c r="A251" s="17" t="s">
        <v>1273</v>
      </c>
      <c r="B251" s="7" t="s">
        <v>1274</v>
      </c>
      <c r="C251" s="7" t="s">
        <v>294</v>
      </c>
      <c r="D251" s="7"/>
      <c r="E251" s="7"/>
      <c r="F251" s="7" t="s">
        <v>289</v>
      </c>
      <c r="G251" s="7" t="s">
        <v>289</v>
      </c>
      <c r="H251" s="8"/>
      <c r="I251" s="7"/>
      <c r="J251" s="7"/>
      <c r="K251" s="7"/>
      <c r="L251" s="8"/>
      <c r="M251" s="8"/>
      <c r="N251" s="7"/>
      <c r="O251" s="7"/>
      <c r="P251" s="7" t="s">
        <v>87</v>
      </c>
      <c r="Q251" s="9">
        <v>46168</v>
      </c>
      <c r="R251" s="7" t="s">
        <v>290</v>
      </c>
      <c r="S251" s="10" t="s">
        <v>1275</v>
      </c>
    </row>
    <row r="252" spans="1:19" ht="54" x14ac:dyDescent="0.25">
      <c r="A252" s="17" t="s">
        <v>1276</v>
      </c>
      <c r="B252" s="7" t="s">
        <v>1277</v>
      </c>
      <c r="C252" s="7" t="s">
        <v>294</v>
      </c>
      <c r="D252" s="7" t="s">
        <v>1278</v>
      </c>
      <c r="E252" s="7" t="s">
        <v>439</v>
      </c>
      <c r="F252" s="7" t="s">
        <v>289</v>
      </c>
      <c r="G252" s="7" t="s">
        <v>289</v>
      </c>
      <c r="H252" s="8">
        <v>1</v>
      </c>
      <c r="I252" s="7"/>
      <c r="J252" s="7"/>
      <c r="K252" s="7"/>
      <c r="L252" s="8"/>
      <c r="M252" s="8"/>
      <c r="N252" s="7"/>
      <c r="O252" s="7"/>
      <c r="P252" s="7" t="s">
        <v>87</v>
      </c>
      <c r="Q252" s="9">
        <v>46105</v>
      </c>
      <c r="R252" s="7" t="s">
        <v>290</v>
      </c>
      <c r="S252" s="10" t="s">
        <v>1279</v>
      </c>
    </row>
    <row r="253" spans="1:19" ht="54" x14ac:dyDescent="0.25">
      <c r="A253" s="17" t="s">
        <v>1280</v>
      </c>
      <c r="B253" s="7" t="s">
        <v>1281</v>
      </c>
      <c r="C253" s="7" t="s">
        <v>294</v>
      </c>
      <c r="D253" s="7" t="s">
        <v>1282</v>
      </c>
      <c r="E253" s="7" t="s">
        <v>439</v>
      </c>
      <c r="F253" s="7" t="s">
        <v>289</v>
      </c>
      <c r="G253" s="7" t="s">
        <v>289</v>
      </c>
      <c r="H253" s="8">
        <v>1</v>
      </c>
      <c r="I253" s="7"/>
      <c r="J253" s="7"/>
      <c r="K253" s="7"/>
      <c r="L253" s="8"/>
      <c r="M253" s="8"/>
      <c r="N253" s="7"/>
      <c r="O253" s="7"/>
      <c r="P253" s="7" t="s">
        <v>87</v>
      </c>
      <c r="Q253" s="9">
        <v>46105</v>
      </c>
      <c r="R253" s="7" t="s">
        <v>290</v>
      </c>
      <c r="S253" s="10" t="s">
        <v>1283</v>
      </c>
    </row>
    <row r="254" spans="1:19" ht="27" x14ac:dyDescent="0.25">
      <c r="A254" s="17" t="s">
        <v>1284</v>
      </c>
      <c r="B254" s="7" t="s">
        <v>1285</v>
      </c>
      <c r="C254" s="7" t="s">
        <v>294</v>
      </c>
      <c r="D254" s="7"/>
      <c r="E254" s="7"/>
      <c r="F254" s="7" t="s">
        <v>289</v>
      </c>
      <c r="G254" s="7" t="s">
        <v>289</v>
      </c>
      <c r="H254" s="8"/>
      <c r="I254" s="7"/>
      <c r="J254" s="7"/>
      <c r="K254" s="7"/>
      <c r="L254" s="8"/>
      <c r="M254" s="8"/>
      <c r="N254" s="7"/>
      <c r="O254" s="7"/>
      <c r="P254" s="7" t="s">
        <v>87</v>
      </c>
      <c r="Q254" s="9">
        <v>46168</v>
      </c>
      <c r="R254" s="7" t="s">
        <v>290</v>
      </c>
      <c r="S254" s="10" t="s">
        <v>1286</v>
      </c>
    </row>
    <row r="255" spans="1:19" ht="54" x14ac:dyDescent="0.25">
      <c r="A255" s="17" t="s">
        <v>1287</v>
      </c>
      <c r="B255" s="7" t="s">
        <v>1288</v>
      </c>
      <c r="C255" s="7" t="s">
        <v>294</v>
      </c>
      <c r="D255" s="7" t="s">
        <v>1289</v>
      </c>
      <c r="E255" s="7" t="s">
        <v>439</v>
      </c>
      <c r="F255" s="7" t="s">
        <v>289</v>
      </c>
      <c r="G255" s="7" t="s">
        <v>289</v>
      </c>
      <c r="H255" s="8">
        <v>1</v>
      </c>
      <c r="I255" s="7"/>
      <c r="J255" s="7"/>
      <c r="K255" s="7"/>
      <c r="L255" s="8"/>
      <c r="M255" s="8"/>
      <c r="N255" s="7"/>
      <c r="O255" s="7"/>
      <c r="P255" s="7" t="s">
        <v>87</v>
      </c>
      <c r="Q255" s="9">
        <v>46105</v>
      </c>
      <c r="R255" s="7" t="s">
        <v>290</v>
      </c>
      <c r="S255" s="10" t="s">
        <v>1290</v>
      </c>
    </row>
    <row r="256" spans="1:19" ht="40.5" x14ac:dyDescent="0.25">
      <c r="A256" s="17" t="s">
        <v>1291</v>
      </c>
      <c r="B256" s="7" t="s">
        <v>1292</v>
      </c>
      <c r="C256" s="7" t="s">
        <v>1138</v>
      </c>
      <c r="D256" s="7"/>
      <c r="E256" s="7"/>
      <c r="F256" s="7" t="s">
        <v>25</v>
      </c>
      <c r="G256" s="7" t="s">
        <v>25</v>
      </c>
      <c r="H256" s="8"/>
      <c r="I256" s="7"/>
      <c r="J256" s="7"/>
      <c r="K256" s="7"/>
      <c r="L256" s="8"/>
      <c r="M256" s="8"/>
      <c r="N256" s="7"/>
      <c r="O256" s="7"/>
      <c r="P256" s="7" t="s">
        <v>87</v>
      </c>
      <c r="Q256" s="9">
        <v>46097</v>
      </c>
      <c r="R256" s="7" t="s">
        <v>290</v>
      </c>
      <c r="S256" s="10" t="s">
        <v>1293</v>
      </c>
    </row>
    <row r="257" spans="1:19" ht="40.5" x14ac:dyDescent="0.25">
      <c r="A257" s="17" t="s">
        <v>1294</v>
      </c>
      <c r="B257" s="7" t="s">
        <v>1295</v>
      </c>
      <c r="C257" s="7" t="s">
        <v>288</v>
      </c>
      <c r="D257" s="7"/>
      <c r="E257" s="7"/>
      <c r="F257" s="7" t="s">
        <v>289</v>
      </c>
      <c r="G257" s="7" t="s">
        <v>289</v>
      </c>
      <c r="H257" s="8"/>
      <c r="I257" s="7"/>
      <c r="J257" s="7"/>
      <c r="K257" s="7"/>
      <c r="L257" s="8"/>
      <c r="M257" s="8"/>
      <c r="N257" s="7"/>
      <c r="O257" s="7"/>
      <c r="P257" s="7" t="s">
        <v>87</v>
      </c>
      <c r="Q257" s="9">
        <v>46144</v>
      </c>
      <c r="R257" s="7" t="s">
        <v>290</v>
      </c>
      <c r="S257" s="10" t="s">
        <v>1296</v>
      </c>
    </row>
    <row r="258" spans="1:19" ht="40.5" x14ac:dyDescent="0.25">
      <c r="A258" s="17" t="s">
        <v>1297</v>
      </c>
      <c r="B258" s="7" t="s">
        <v>1298</v>
      </c>
      <c r="C258" s="7" t="s">
        <v>288</v>
      </c>
      <c r="D258" s="7"/>
      <c r="E258" s="7"/>
      <c r="F258" s="7" t="s">
        <v>289</v>
      </c>
      <c r="G258" s="7" t="s">
        <v>289</v>
      </c>
      <c r="H258" s="8"/>
      <c r="I258" s="7"/>
      <c r="J258" s="7"/>
      <c r="K258" s="7"/>
      <c r="L258" s="8"/>
      <c r="M258" s="8"/>
      <c r="N258" s="7"/>
      <c r="O258" s="7"/>
      <c r="P258" s="7" t="s">
        <v>87</v>
      </c>
      <c r="Q258" s="9">
        <v>46144</v>
      </c>
      <c r="R258" s="7" t="s">
        <v>290</v>
      </c>
      <c r="S258" s="10" t="s">
        <v>1299</v>
      </c>
    </row>
    <row r="259" spans="1:19" ht="40.5" x14ac:dyDescent="0.25">
      <c r="A259" s="17" t="s">
        <v>1300</v>
      </c>
      <c r="B259" s="7" t="s">
        <v>1301</v>
      </c>
      <c r="C259" s="7" t="s">
        <v>604</v>
      </c>
      <c r="D259" s="7"/>
      <c r="E259" s="7"/>
      <c r="F259" s="7" t="s">
        <v>289</v>
      </c>
      <c r="G259" s="7" t="s">
        <v>289</v>
      </c>
      <c r="H259" s="8"/>
      <c r="I259" s="7"/>
      <c r="J259" s="7"/>
      <c r="K259" s="7"/>
      <c r="L259" s="8"/>
      <c r="M259" s="8"/>
      <c r="N259" s="7"/>
      <c r="O259" s="7"/>
      <c r="P259" s="7" t="s">
        <v>87</v>
      </c>
      <c r="Q259" s="9">
        <v>46192</v>
      </c>
      <c r="R259" s="7" t="s">
        <v>290</v>
      </c>
      <c r="S259" s="10" t="s">
        <v>1302</v>
      </c>
    </row>
    <row r="260" spans="1:19" ht="40.5" x14ac:dyDescent="0.25">
      <c r="A260" s="17" t="s">
        <v>1303</v>
      </c>
      <c r="B260" s="7" t="s">
        <v>1304</v>
      </c>
      <c r="C260" s="7" t="s">
        <v>378</v>
      </c>
      <c r="D260" s="7"/>
      <c r="E260" s="7"/>
      <c r="F260" s="7" t="s">
        <v>289</v>
      </c>
      <c r="G260" s="7" t="s">
        <v>289</v>
      </c>
      <c r="H260" s="8"/>
      <c r="I260" s="7"/>
      <c r="J260" s="7"/>
      <c r="K260" s="7"/>
      <c r="L260" s="8"/>
      <c r="M260" s="8"/>
      <c r="N260" s="7"/>
      <c r="O260" s="7"/>
      <c r="P260" s="7" t="s">
        <v>87</v>
      </c>
      <c r="Q260" s="9">
        <v>46192</v>
      </c>
      <c r="R260" s="7" t="s">
        <v>290</v>
      </c>
      <c r="S260" s="10" t="s">
        <v>1305</v>
      </c>
    </row>
    <row r="261" spans="1:19" ht="81" x14ac:dyDescent="0.25">
      <c r="A261" s="17" t="s">
        <v>1306</v>
      </c>
      <c r="B261" s="7" t="s">
        <v>1307</v>
      </c>
      <c r="C261" s="7" t="s">
        <v>1308</v>
      </c>
      <c r="D261" s="7" t="s">
        <v>1309</v>
      </c>
      <c r="E261" s="7" t="s">
        <v>612</v>
      </c>
      <c r="F261" s="7" t="s">
        <v>289</v>
      </c>
      <c r="G261" s="7" t="s">
        <v>289</v>
      </c>
      <c r="H261" s="8">
        <v>100</v>
      </c>
      <c r="I261" s="7"/>
      <c r="J261" s="7"/>
      <c r="K261" s="7"/>
      <c r="L261" s="8"/>
      <c r="M261" s="8"/>
      <c r="N261" s="7"/>
      <c r="O261" s="7"/>
      <c r="P261" s="7" t="s">
        <v>87</v>
      </c>
      <c r="Q261" s="9">
        <v>46103</v>
      </c>
      <c r="R261" s="7" t="s">
        <v>290</v>
      </c>
      <c r="S261" s="10" t="s">
        <v>1310</v>
      </c>
    </row>
    <row r="262" spans="1:19" ht="40.5" x14ac:dyDescent="0.25">
      <c r="A262" s="17" t="s">
        <v>1311</v>
      </c>
      <c r="B262" s="7" t="s">
        <v>1312</v>
      </c>
      <c r="C262" s="7" t="s">
        <v>604</v>
      </c>
      <c r="D262" s="7"/>
      <c r="E262" s="7"/>
      <c r="F262" s="7" t="s">
        <v>289</v>
      </c>
      <c r="G262" s="7" t="s">
        <v>289</v>
      </c>
      <c r="H262" s="8"/>
      <c r="I262" s="7"/>
      <c r="J262" s="7"/>
      <c r="K262" s="7"/>
      <c r="L262" s="8"/>
      <c r="M262" s="8"/>
      <c r="N262" s="7"/>
      <c r="O262" s="7"/>
      <c r="P262" s="7" t="s">
        <v>87</v>
      </c>
      <c r="Q262" s="9">
        <v>46192</v>
      </c>
      <c r="R262" s="7" t="s">
        <v>290</v>
      </c>
      <c r="S262" s="10" t="s">
        <v>1313</v>
      </c>
    </row>
    <row r="263" spans="1:19" ht="40.5" x14ac:dyDescent="0.25">
      <c r="A263" s="17" t="s">
        <v>1314</v>
      </c>
      <c r="B263" s="7" t="s">
        <v>1315</v>
      </c>
      <c r="C263" s="7" t="s">
        <v>378</v>
      </c>
      <c r="D263" s="7"/>
      <c r="E263" s="7"/>
      <c r="F263" s="7" t="s">
        <v>289</v>
      </c>
      <c r="G263" s="7" t="s">
        <v>289</v>
      </c>
      <c r="H263" s="8"/>
      <c r="I263" s="7"/>
      <c r="J263" s="7"/>
      <c r="K263" s="7"/>
      <c r="L263" s="8"/>
      <c r="M263" s="8"/>
      <c r="N263" s="7"/>
      <c r="O263" s="7"/>
      <c r="P263" s="7" t="s">
        <v>87</v>
      </c>
      <c r="Q263" s="9">
        <v>46192</v>
      </c>
      <c r="R263" s="7" t="s">
        <v>290</v>
      </c>
      <c r="S263" s="10" t="s">
        <v>1316</v>
      </c>
    </row>
    <row r="264" spans="1:19" ht="27" x14ac:dyDescent="0.25">
      <c r="A264" s="17" t="s">
        <v>1317</v>
      </c>
      <c r="B264" s="7" t="s">
        <v>1318</v>
      </c>
      <c r="C264" s="7" t="s">
        <v>437</v>
      </c>
      <c r="D264" s="7"/>
      <c r="E264" s="7"/>
      <c r="F264" s="7" t="s">
        <v>289</v>
      </c>
      <c r="G264" s="7" t="s">
        <v>289</v>
      </c>
      <c r="H264" s="8"/>
      <c r="I264" s="7"/>
      <c r="J264" s="7"/>
      <c r="K264" s="7"/>
      <c r="L264" s="8"/>
      <c r="M264" s="8"/>
      <c r="N264" s="7"/>
      <c r="O264" s="7"/>
      <c r="P264" s="7" t="s">
        <v>87</v>
      </c>
      <c r="Q264" s="9">
        <v>46219</v>
      </c>
      <c r="R264" s="7" t="s">
        <v>290</v>
      </c>
      <c r="S264" s="10" t="s">
        <v>1319</v>
      </c>
    </row>
    <row r="265" spans="1:19" ht="54" x14ac:dyDescent="0.25">
      <c r="A265" s="17" t="s">
        <v>1320</v>
      </c>
      <c r="B265" s="7" t="s">
        <v>1321</v>
      </c>
      <c r="C265" s="7" t="s">
        <v>437</v>
      </c>
      <c r="D265" s="7" t="s">
        <v>1322</v>
      </c>
      <c r="E265" s="7" t="s">
        <v>439</v>
      </c>
      <c r="F265" s="7" t="s">
        <v>289</v>
      </c>
      <c r="G265" s="7" t="s">
        <v>289</v>
      </c>
      <c r="H265" s="8">
        <v>1</v>
      </c>
      <c r="I265" s="7"/>
      <c r="J265" s="7"/>
      <c r="K265" s="7"/>
      <c r="L265" s="8"/>
      <c r="M265" s="8"/>
      <c r="N265" s="7"/>
      <c r="O265" s="7"/>
      <c r="P265" s="7" t="s">
        <v>87</v>
      </c>
      <c r="Q265" s="9">
        <v>46121</v>
      </c>
      <c r="R265" s="7" t="s">
        <v>290</v>
      </c>
      <c r="S265" s="10" t="s">
        <v>1323</v>
      </c>
    </row>
    <row r="266" spans="1:19" ht="27" x14ac:dyDescent="0.25">
      <c r="A266" s="58" t="s">
        <v>1324</v>
      </c>
      <c r="B266" s="7" t="s">
        <v>1325</v>
      </c>
      <c r="C266" s="7" t="s">
        <v>437</v>
      </c>
      <c r="D266" s="7"/>
      <c r="E266" s="7"/>
      <c r="F266" s="7" t="s">
        <v>289</v>
      </c>
      <c r="G266" s="7" t="s">
        <v>289</v>
      </c>
      <c r="H266" s="8"/>
      <c r="I266" s="7"/>
      <c r="J266" s="7"/>
      <c r="K266" s="7"/>
      <c r="L266" s="8"/>
      <c r="M266" s="8"/>
      <c r="N266" s="7"/>
      <c r="O266" s="7"/>
      <c r="P266" s="7" t="s">
        <v>87</v>
      </c>
      <c r="Q266" s="9">
        <v>46219</v>
      </c>
      <c r="R266" s="7" t="s">
        <v>290</v>
      </c>
      <c r="S266" s="10" t="s">
        <v>1326</v>
      </c>
    </row>
    <row r="267" spans="1:19" ht="54" x14ac:dyDescent="0.25">
      <c r="A267" s="17" t="s">
        <v>1327</v>
      </c>
      <c r="B267" s="7" t="s">
        <v>1328</v>
      </c>
      <c r="C267" s="7" t="s">
        <v>437</v>
      </c>
      <c r="D267" s="7" t="s">
        <v>1329</v>
      </c>
      <c r="E267" s="7" t="s">
        <v>439</v>
      </c>
      <c r="F267" s="7" t="s">
        <v>289</v>
      </c>
      <c r="G267" s="7" t="s">
        <v>289</v>
      </c>
      <c r="H267" s="8">
        <v>1</v>
      </c>
      <c r="I267" s="7"/>
      <c r="J267" s="7"/>
      <c r="K267" s="7"/>
      <c r="L267" s="8"/>
      <c r="M267" s="8"/>
      <c r="N267" s="7"/>
      <c r="O267" s="7"/>
      <c r="P267" s="7" t="s">
        <v>87</v>
      </c>
      <c r="Q267" s="9">
        <v>46121</v>
      </c>
      <c r="R267" s="7" t="s">
        <v>290</v>
      </c>
      <c r="S267" s="10" t="s">
        <v>1330</v>
      </c>
    </row>
    <row r="268" spans="1:19" ht="40.5" x14ac:dyDescent="0.25">
      <c r="A268" s="17" t="s">
        <v>1331</v>
      </c>
      <c r="B268" s="7" t="s">
        <v>1332</v>
      </c>
      <c r="C268" s="7" t="s">
        <v>596</v>
      </c>
      <c r="D268" s="7"/>
      <c r="E268" s="7"/>
      <c r="F268" s="7" t="s">
        <v>289</v>
      </c>
      <c r="G268" s="7" t="s">
        <v>289</v>
      </c>
      <c r="H268" s="8"/>
      <c r="I268" s="7"/>
      <c r="J268" s="7"/>
      <c r="K268" s="7"/>
      <c r="L268" s="8"/>
      <c r="M268" s="8"/>
      <c r="N268" s="7"/>
      <c r="O268" s="7"/>
      <c r="P268" s="7" t="s">
        <v>87</v>
      </c>
      <c r="Q268" s="9">
        <v>46192</v>
      </c>
      <c r="R268" s="7" t="s">
        <v>290</v>
      </c>
      <c r="S268" s="10" t="s">
        <v>1333</v>
      </c>
    </row>
    <row r="269" spans="1:19" ht="40.5" x14ac:dyDescent="0.25">
      <c r="A269" s="17" t="s">
        <v>1334</v>
      </c>
      <c r="B269" s="7" t="s">
        <v>1335</v>
      </c>
      <c r="C269" s="7" t="s">
        <v>604</v>
      </c>
      <c r="D269" s="7"/>
      <c r="E269" s="7"/>
      <c r="F269" s="7" t="s">
        <v>289</v>
      </c>
      <c r="G269" s="7" t="s">
        <v>289</v>
      </c>
      <c r="H269" s="8"/>
      <c r="I269" s="7"/>
      <c r="J269" s="7"/>
      <c r="K269" s="7"/>
      <c r="L269" s="8"/>
      <c r="M269" s="8"/>
      <c r="N269" s="7"/>
      <c r="O269" s="7"/>
      <c r="P269" s="7" t="s">
        <v>87</v>
      </c>
      <c r="Q269" s="9">
        <v>46192</v>
      </c>
      <c r="R269" s="7" t="s">
        <v>290</v>
      </c>
      <c r="S269" s="10" t="s">
        <v>1336</v>
      </c>
    </row>
    <row r="270" spans="1:19" ht="40.5" x14ac:dyDescent="0.25">
      <c r="A270" s="17" t="s">
        <v>1337</v>
      </c>
      <c r="B270" s="7" t="s">
        <v>1338</v>
      </c>
      <c r="C270" s="7" t="s">
        <v>596</v>
      </c>
      <c r="D270" s="7"/>
      <c r="E270" s="7"/>
      <c r="F270" s="7" t="s">
        <v>289</v>
      </c>
      <c r="G270" s="7" t="s">
        <v>289</v>
      </c>
      <c r="H270" s="8"/>
      <c r="I270" s="7"/>
      <c r="J270" s="7"/>
      <c r="K270" s="7"/>
      <c r="L270" s="8"/>
      <c r="M270" s="8"/>
      <c r="N270" s="7"/>
      <c r="O270" s="7"/>
      <c r="P270" s="7" t="s">
        <v>87</v>
      </c>
      <c r="Q270" s="9">
        <v>46192</v>
      </c>
      <c r="R270" s="7" t="s">
        <v>290</v>
      </c>
      <c r="S270" s="10" t="s">
        <v>1339</v>
      </c>
    </row>
    <row r="271" spans="1:19" ht="40.5" x14ac:dyDescent="0.25">
      <c r="A271" s="17" t="s">
        <v>1340</v>
      </c>
      <c r="B271" s="7" t="s">
        <v>1341</v>
      </c>
      <c r="C271" s="7" t="s">
        <v>604</v>
      </c>
      <c r="D271" s="7"/>
      <c r="E271" s="7"/>
      <c r="F271" s="7" t="s">
        <v>289</v>
      </c>
      <c r="G271" s="7" t="s">
        <v>289</v>
      </c>
      <c r="H271" s="8"/>
      <c r="I271" s="7"/>
      <c r="J271" s="7"/>
      <c r="K271" s="7"/>
      <c r="L271" s="8"/>
      <c r="M271" s="8"/>
      <c r="N271" s="7"/>
      <c r="O271" s="7"/>
      <c r="P271" s="7" t="s">
        <v>87</v>
      </c>
      <c r="Q271" s="9">
        <v>46192</v>
      </c>
      <c r="R271" s="7" t="s">
        <v>290</v>
      </c>
      <c r="S271" s="10" t="s">
        <v>1342</v>
      </c>
    </row>
    <row r="272" spans="1:19" ht="40.5" x14ac:dyDescent="0.25">
      <c r="A272" s="17" t="s">
        <v>1343</v>
      </c>
      <c r="B272" s="7" t="s">
        <v>1344</v>
      </c>
      <c r="C272" s="7" t="s">
        <v>596</v>
      </c>
      <c r="D272" s="7"/>
      <c r="E272" s="7"/>
      <c r="F272" s="7" t="s">
        <v>289</v>
      </c>
      <c r="G272" s="7" t="s">
        <v>289</v>
      </c>
      <c r="H272" s="8"/>
      <c r="I272" s="7"/>
      <c r="J272" s="7"/>
      <c r="K272" s="7"/>
      <c r="L272" s="8"/>
      <c r="M272" s="8"/>
      <c r="N272" s="7"/>
      <c r="O272" s="7"/>
      <c r="P272" s="7" t="s">
        <v>87</v>
      </c>
      <c r="Q272" s="9">
        <v>46192</v>
      </c>
      <c r="R272" s="7" t="s">
        <v>290</v>
      </c>
      <c r="S272" s="10" t="s">
        <v>1345</v>
      </c>
    </row>
    <row r="273" spans="1:19" ht="40.5" x14ac:dyDescent="0.25">
      <c r="A273" s="17" t="s">
        <v>1346</v>
      </c>
      <c r="B273" s="7" t="s">
        <v>1347</v>
      </c>
      <c r="C273" s="7" t="s">
        <v>596</v>
      </c>
      <c r="D273" s="7"/>
      <c r="E273" s="7"/>
      <c r="F273" s="7" t="s">
        <v>289</v>
      </c>
      <c r="G273" s="7" t="s">
        <v>289</v>
      </c>
      <c r="H273" s="8"/>
      <c r="I273" s="7"/>
      <c r="J273" s="7"/>
      <c r="K273" s="7"/>
      <c r="L273" s="8"/>
      <c r="M273" s="8"/>
      <c r="N273" s="7"/>
      <c r="O273" s="7"/>
      <c r="P273" s="7" t="s">
        <v>87</v>
      </c>
      <c r="Q273" s="9">
        <v>46192</v>
      </c>
      <c r="R273" s="7" t="s">
        <v>290</v>
      </c>
      <c r="S273" s="10" t="s">
        <v>1348</v>
      </c>
    </row>
    <row r="274" spans="1:19" ht="40.5" x14ac:dyDescent="0.25">
      <c r="A274" s="17" t="s">
        <v>1349</v>
      </c>
      <c r="B274" s="7" t="s">
        <v>1350</v>
      </c>
      <c r="C274" s="7" t="s">
        <v>596</v>
      </c>
      <c r="D274" s="7"/>
      <c r="E274" s="7"/>
      <c r="F274" s="7" t="s">
        <v>289</v>
      </c>
      <c r="G274" s="7" t="s">
        <v>289</v>
      </c>
      <c r="H274" s="8"/>
      <c r="I274" s="7"/>
      <c r="J274" s="7"/>
      <c r="K274" s="7"/>
      <c r="L274" s="8"/>
      <c r="M274" s="8"/>
      <c r="N274" s="7"/>
      <c r="O274" s="7"/>
      <c r="P274" s="7" t="s">
        <v>87</v>
      </c>
      <c r="Q274" s="9">
        <v>46192</v>
      </c>
      <c r="R274" s="7" t="s">
        <v>290</v>
      </c>
      <c r="S274" s="10" t="s">
        <v>1351</v>
      </c>
    </row>
    <row r="275" spans="1:19" ht="81" x14ac:dyDescent="0.25">
      <c r="A275" s="17" t="s">
        <v>1352</v>
      </c>
      <c r="B275" s="7" t="s">
        <v>1353</v>
      </c>
      <c r="C275" s="7" t="s">
        <v>1040</v>
      </c>
      <c r="D275" s="7" t="s">
        <v>1354</v>
      </c>
      <c r="E275" s="7" t="s">
        <v>1355</v>
      </c>
      <c r="F275" s="7" t="s">
        <v>25</v>
      </c>
      <c r="G275" s="7" t="s">
        <v>25</v>
      </c>
      <c r="H275" s="8">
        <v>4000</v>
      </c>
      <c r="I275" s="7"/>
      <c r="J275" s="7"/>
      <c r="K275" s="7"/>
      <c r="L275" s="8"/>
      <c r="M275" s="8"/>
      <c r="N275" s="7"/>
      <c r="O275" s="7"/>
      <c r="P275" s="7" t="s">
        <v>87</v>
      </c>
      <c r="Q275" s="9">
        <v>46149</v>
      </c>
      <c r="R275" s="7" t="s">
        <v>290</v>
      </c>
      <c r="S275" s="10" t="s">
        <v>1356</v>
      </c>
    </row>
    <row r="276" spans="1:19" ht="81" x14ac:dyDescent="0.25">
      <c r="A276" s="17" t="s">
        <v>1357</v>
      </c>
      <c r="B276" s="7" t="s">
        <v>1358</v>
      </c>
      <c r="C276" s="7" t="s">
        <v>1040</v>
      </c>
      <c r="D276" s="7" t="s">
        <v>1359</v>
      </c>
      <c r="E276" s="7" t="s">
        <v>1360</v>
      </c>
      <c r="F276" s="7" t="s">
        <v>25</v>
      </c>
      <c r="G276" s="7" t="s">
        <v>25</v>
      </c>
      <c r="H276" s="8">
        <v>1000</v>
      </c>
      <c r="I276" s="7"/>
      <c r="J276" s="7"/>
      <c r="K276" s="7"/>
      <c r="L276" s="8"/>
      <c r="M276" s="8"/>
      <c r="N276" s="7"/>
      <c r="O276" s="7"/>
      <c r="P276" s="7" t="s">
        <v>87</v>
      </c>
      <c r="Q276" s="9">
        <v>46149</v>
      </c>
      <c r="R276" s="7" t="s">
        <v>290</v>
      </c>
      <c r="S276" s="10" t="s">
        <v>1361</v>
      </c>
    </row>
    <row r="277" spans="1:19" ht="81" x14ac:dyDescent="0.25">
      <c r="A277" s="17" t="s">
        <v>1362</v>
      </c>
      <c r="B277" s="7" t="s">
        <v>1363</v>
      </c>
      <c r="C277" s="7" t="s">
        <v>1364</v>
      </c>
      <c r="D277" s="7" t="s">
        <v>1365</v>
      </c>
      <c r="E277" s="7" t="s">
        <v>1366</v>
      </c>
      <c r="F277" s="7" t="s">
        <v>308</v>
      </c>
      <c r="G277" s="7" t="s">
        <v>301</v>
      </c>
      <c r="H277" s="8">
        <v>1</v>
      </c>
      <c r="I277" s="7"/>
      <c r="J277" s="7"/>
      <c r="K277" s="7"/>
      <c r="L277" s="8"/>
      <c r="M277" s="8"/>
      <c r="N277" s="7"/>
      <c r="O277" s="7"/>
      <c r="P277" s="7" t="s">
        <v>87</v>
      </c>
      <c r="Q277" s="9">
        <v>46094</v>
      </c>
      <c r="R277" s="7" t="s">
        <v>290</v>
      </c>
      <c r="S277" s="10" t="s">
        <v>1367</v>
      </c>
    </row>
    <row r="278" spans="1:19" ht="81" x14ac:dyDescent="0.25">
      <c r="A278" s="17" t="s">
        <v>1368</v>
      </c>
      <c r="B278" s="7" t="s">
        <v>1369</v>
      </c>
      <c r="C278" s="7" t="s">
        <v>1364</v>
      </c>
      <c r="D278" s="7" t="s">
        <v>1370</v>
      </c>
      <c r="E278" s="7" t="s">
        <v>433</v>
      </c>
      <c r="F278" s="7" t="s">
        <v>308</v>
      </c>
      <c r="G278" s="7" t="s">
        <v>301</v>
      </c>
      <c r="H278" s="8">
        <v>4</v>
      </c>
      <c r="I278" s="7"/>
      <c r="J278" s="7"/>
      <c r="K278" s="7"/>
      <c r="L278" s="8"/>
      <c r="M278" s="8"/>
      <c r="N278" s="7"/>
      <c r="O278" s="7"/>
      <c r="P278" s="7" t="s">
        <v>87</v>
      </c>
      <c r="Q278" s="9">
        <v>46097</v>
      </c>
      <c r="R278" s="7" t="s">
        <v>290</v>
      </c>
      <c r="S278" s="10" t="s">
        <v>1371</v>
      </c>
    </row>
    <row r="279" spans="1:19" ht="40.5" x14ac:dyDescent="0.25">
      <c r="A279" s="17" t="s">
        <v>1372</v>
      </c>
      <c r="B279" s="7" t="s">
        <v>1373</v>
      </c>
      <c r="C279" s="7" t="s">
        <v>378</v>
      </c>
      <c r="D279" s="7"/>
      <c r="E279" s="7"/>
      <c r="F279" s="7" t="s">
        <v>289</v>
      </c>
      <c r="G279" s="7" t="s">
        <v>289</v>
      </c>
      <c r="H279" s="8"/>
      <c r="I279" s="7"/>
      <c r="J279" s="7"/>
      <c r="K279" s="7"/>
      <c r="L279" s="8"/>
      <c r="M279" s="8"/>
      <c r="N279" s="7"/>
      <c r="O279" s="7"/>
      <c r="P279" s="7" t="s">
        <v>87</v>
      </c>
      <c r="Q279" s="9">
        <v>46192</v>
      </c>
      <c r="R279" s="7" t="s">
        <v>290</v>
      </c>
      <c r="S279" s="10" t="s">
        <v>1374</v>
      </c>
    </row>
    <row r="280" spans="1:19" ht="40.5" x14ac:dyDescent="0.25">
      <c r="A280" s="17" t="s">
        <v>1375</v>
      </c>
      <c r="B280" s="7" t="s">
        <v>1376</v>
      </c>
      <c r="C280" s="7" t="s">
        <v>378</v>
      </c>
      <c r="D280" s="7"/>
      <c r="E280" s="7"/>
      <c r="F280" s="7" t="s">
        <v>289</v>
      </c>
      <c r="G280" s="7" t="s">
        <v>289</v>
      </c>
      <c r="H280" s="8"/>
      <c r="I280" s="7"/>
      <c r="J280" s="7"/>
      <c r="K280" s="7"/>
      <c r="L280" s="8"/>
      <c r="M280" s="8"/>
      <c r="N280" s="7"/>
      <c r="O280" s="7"/>
      <c r="P280" s="7" t="s">
        <v>87</v>
      </c>
      <c r="Q280" s="9">
        <v>46192</v>
      </c>
      <c r="R280" s="7" t="s">
        <v>290</v>
      </c>
      <c r="S280" s="10" t="s">
        <v>1377</v>
      </c>
    </row>
    <row r="281" spans="1:19" ht="81" x14ac:dyDescent="0.25">
      <c r="A281" s="17" t="s">
        <v>1378</v>
      </c>
      <c r="B281" s="7" t="s">
        <v>1379</v>
      </c>
      <c r="C281" s="7" t="s">
        <v>475</v>
      </c>
      <c r="D281" s="7" t="s">
        <v>1380</v>
      </c>
      <c r="E281" s="7" t="s">
        <v>361</v>
      </c>
      <c r="F281" s="7" t="s">
        <v>25</v>
      </c>
      <c r="G281" s="7" t="s">
        <v>25</v>
      </c>
      <c r="H281" s="8">
        <v>1000</v>
      </c>
      <c r="I281" s="7"/>
      <c r="J281" s="7"/>
      <c r="K281" s="7"/>
      <c r="L281" s="8"/>
      <c r="M281" s="8"/>
      <c r="N281" s="7"/>
      <c r="O281" s="7"/>
      <c r="P281" s="7" t="s">
        <v>87</v>
      </c>
      <c r="Q281" s="9">
        <v>46097</v>
      </c>
      <c r="R281" s="7" t="s">
        <v>290</v>
      </c>
      <c r="S281" s="10" t="s">
        <v>1381</v>
      </c>
    </row>
    <row r="282" spans="1:19" ht="40.5" x14ac:dyDescent="0.25">
      <c r="A282" s="17" t="s">
        <v>1382</v>
      </c>
      <c r="B282" s="7" t="s">
        <v>1383</v>
      </c>
      <c r="C282" s="7" t="s">
        <v>604</v>
      </c>
      <c r="D282" s="7"/>
      <c r="E282" s="7"/>
      <c r="F282" s="7" t="s">
        <v>289</v>
      </c>
      <c r="G282" s="7" t="s">
        <v>289</v>
      </c>
      <c r="H282" s="8"/>
      <c r="I282" s="7"/>
      <c r="J282" s="7"/>
      <c r="K282" s="7"/>
      <c r="L282" s="8"/>
      <c r="M282" s="8"/>
      <c r="N282" s="7"/>
      <c r="O282" s="7"/>
      <c r="P282" s="7" t="s">
        <v>87</v>
      </c>
      <c r="Q282" s="9">
        <v>46192</v>
      </c>
      <c r="R282" s="7" t="s">
        <v>290</v>
      </c>
      <c r="S282" s="10" t="s">
        <v>1384</v>
      </c>
    </row>
    <row r="283" spans="1:19" ht="81" x14ac:dyDescent="0.25">
      <c r="A283" s="17" t="s">
        <v>1385</v>
      </c>
      <c r="B283" s="7" t="s">
        <v>1386</v>
      </c>
      <c r="C283" s="7" t="s">
        <v>500</v>
      </c>
      <c r="D283" s="7" t="s">
        <v>1387</v>
      </c>
      <c r="E283" s="7" t="s">
        <v>361</v>
      </c>
      <c r="F283" s="7" t="s">
        <v>25</v>
      </c>
      <c r="G283" s="7" t="s">
        <v>25</v>
      </c>
      <c r="H283" s="8">
        <v>1000</v>
      </c>
      <c r="I283" s="7"/>
      <c r="J283" s="7"/>
      <c r="K283" s="7"/>
      <c r="L283" s="8"/>
      <c r="M283" s="8"/>
      <c r="N283" s="7"/>
      <c r="O283" s="7"/>
      <c r="P283" s="7" t="s">
        <v>87</v>
      </c>
      <c r="Q283" s="9">
        <v>46076</v>
      </c>
      <c r="R283" s="7" t="s">
        <v>290</v>
      </c>
      <c r="S283" s="10" t="s">
        <v>1388</v>
      </c>
    </row>
    <row r="284" spans="1:19" ht="40.5" x14ac:dyDescent="0.25">
      <c r="A284" s="17" t="s">
        <v>1389</v>
      </c>
      <c r="B284" s="7" t="s">
        <v>1390</v>
      </c>
      <c r="C284" s="7" t="s">
        <v>596</v>
      </c>
      <c r="D284" s="7"/>
      <c r="E284" s="7"/>
      <c r="F284" s="7" t="s">
        <v>289</v>
      </c>
      <c r="G284" s="7" t="s">
        <v>289</v>
      </c>
      <c r="H284" s="8"/>
      <c r="I284" s="7"/>
      <c r="J284" s="7"/>
      <c r="K284" s="7"/>
      <c r="L284" s="8"/>
      <c r="M284" s="8"/>
      <c r="N284" s="7"/>
      <c r="O284" s="7"/>
      <c r="P284" s="7" t="s">
        <v>87</v>
      </c>
      <c r="Q284" s="9">
        <v>46192</v>
      </c>
      <c r="R284" s="7" t="s">
        <v>290</v>
      </c>
      <c r="S284" s="10" t="s">
        <v>1391</v>
      </c>
    </row>
    <row r="285" spans="1:19" ht="40.5" x14ac:dyDescent="0.25">
      <c r="A285" s="17" t="s">
        <v>1392</v>
      </c>
      <c r="B285" s="7" t="s">
        <v>1393</v>
      </c>
      <c r="C285" s="7" t="s">
        <v>596</v>
      </c>
      <c r="D285" s="7"/>
      <c r="E285" s="7"/>
      <c r="F285" s="7" t="s">
        <v>289</v>
      </c>
      <c r="G285" s="7" t="s">
        <v>289</v>
      </c>
      <c r="H285" s="8"/>
      <c r="I285" s="7"/>
      <c r="J285" s="7"/>
      <c r="K285" s="7"/>
      <c r="L285" s="8"/>
      <c r="M285" s="8"/>
      <c r="N285" s="7"/>
      <c r="O285" s="7"/>
      <c r="P285" s="7" t="s">
        <v>87</v>
      </c>
      <c r="Q285" s="9">
        <v>46136</v>
      </c>
      <c r="R285" s="7" t="s">
        <v>290</v>
      </c>
      <c r="S285" s="10" t="s">
        <v>1394</v>
      </c>
    </row>
    <row r="286" spans="1:19" ht="81" x14ac:dyDescent="0.25">
      <c r="A286" s="17" t="s">
        <v>1395</v>
      </c>
      <c r="B286" s="7" t="s">
        <v>1396</v>
      </c>
      <c r="C286" s="7" t="s">
        <v>1154</v>
      </c>
      <c r="D286" s="7" t="s">
        <v>1397</v>
      </c>
      <c r="E286" s="7" t="s">
        <v>776</v>
      </c>
      <c r="F286" s="7" t="s">
        <v>289</v>
      </c>
      <c r="G286" s="7" t="s">
        <v>289</v>
      </c>
      <c r="H286" s="8">
        <v>1</v>
      </c>
      <c r="I286" s="7"/>
      <c r="J286" s="7"/>
      <c r="K286" s="7"/>
      <c r="L286" s="8"/>
      <c r="M286" s="8"/>
      <c r="N286" s="7"/>
      <c r="O286" s="7"/>
      <c r="P286" s="7" t="s">
        <v>87</v>
      </c>
      <c r="Q286" s="9">
        <v>46097</v>
      </c>
      <c r="R286" s="7" t="s">
        <v>290</v>
      </c>
      <c r="S286" s="10" t="s">
        <v>1398</v>
      </c>
    </row>
    <row r="287" spans="1:19" ht="40.5" x14ac:dyDescent="0.25">
      <c r="A287" s="17" t="s">
        <v>1399</v>
      </c>
      <c r="B287" s="7" t="s">
        <v>1400</v>
      </c>
      <c r="C287" s="7" t="s">
        <v>288</v>
      </c>
      <c r="D287" s="7"/>
      <c r="E287" s="7"/>
      <c r="F287" s="7" t="s">
        <v>289</v>
      </c>
      <c r="G287" s="7" t="s">
        <v>289</v>
      </c>
      <c r="H287" s="8"/>
      <c r="I287" s="7"/>
      <c r="J287" s="7"/>
      <c r="K287" s="7"/>
      <c r="L287" s="8"/>
      <c r="M287" s="8"/>
      <c r="N287" s="7"/>
      <c r="O287" s="7"/>
      <c r="P287" s="7" t="s">
        <v>87</v>
      </c>
      <c r="Q287" s="9">
        <v>46136</v>
      </c>
      <c r="R287" s="7" t="s">
        <v>290</v>
      </c>
      <c r="S287" s="10" t="s">
        <v>1401</v>
      </c>
    </row>
    <row r="288" spans="1:19" ht="81" x14ac:dyDescent="0.25">
      <c r="A288" s="17" t="s">
        <v>1402</v>
      </c>
      <c r="B288" s="7" t="s">
        <v>1403</v>
      </c>
      <c r="C288" s="7" t="s">
        <v>1404</v>
      </c>
      <c r="D288" s="7" t="s">
        <v>1405</v>
      </c>
      <c r="E288" s="7" t="s">
        <v>1406</v>
      </c>
      <c r="F288" s="7" t="s">
        <v>25</v>
      </c>
      <c r="G288" s="7" t="s">
        <v>25</v>
      </c>
      <c r="H288" s="8">
        <v>150</v>
      </c>
      <c r="I288" s="7"/>
      <c r="J288" s="7"/>
      <c r="K288" s="7"/>
      <c r="L288" s="8"/>
      <c r="M288" s="8"/>
      <c r="N288" s="7"/>
      <c r="O288" s="7"/>
      <c r="P288" s="7" t="s">
        <v>87</v>
      </c>
      <c r="Q288" s="9">
        <v>46072</v>
      </c>
      <c r="R288" s="7" t="s">
        <v>290</v>
      </c>
      <c r="S288" s="10" t="s">
        <v>1407</v>
      </c>
    </row>
    <row r="289" spans="1:19" ht="27" x14ac:dyDescent="0.25">
      <c r="A289" s="17" t="s">
        <v>1408</v>
      </c>
      <c r="B289" s="7" t="s">
        <v>1409</v>
      </c>
      <c r="C289" s="7" t="s">
        <v>1410</v>
      </c>
      <c r="D289" s="7"/>
      <c r="E289" s="7"/>
      <c r="F289" s="7" t="s">
        <v>289</v>
      </c>
      <c r="G289" s="7" t="s">
        <v>289</v>
      </c>
      <c r="H289" s="8"/>
      <c r="I289" s="7"/>
      <c r="J289" s="7"/>
      <c r="K289" s="7"/>
      <c r="L289" s="8"/>
      <c r="M289" s="8"/>
      <c r="N289" s="7"/>
      <c r="O289" s="7"/>
      <c r="P289" s="7" t="s">
        <v>87</v>
      </c>
      <c r="Q289" s="9">
        <v>46185</v>
      </c>
      <c r="R289" s="7" t="s">
        <v>290</v>
      </c>
      <c r="S289" s="10" t="s">
        <v>1411</v>
      </c>
    </row>
    <row r="290" spans="1:19" ht="27" x14ac:dyDescent="0.25">
      <c r="A290" s="17" t="s">
        <v>1412</v>
      </c>
      <c r="B290" s="7" t="s">
        <v>1413</v>
      </c>
      <c r="C290" s="7" t="s">
        <v>1410</v>
      </c>
      <c r="D290" s="7"/>
      <c r="E290" s="7"/>
      <c r="F290" s="7" t="s">
        <v>289</v>
      </c>
      <c r="G290" s="7" t="s">
        <v>289</v>
      </c>
      <c r="H290" s="8"/>
      <c r="I290" s="7"/>
      <c r="J290" s="7"/>
      <c r="K290" s="7"/>
      <c r="L290" s="8"/>
      <c r="M290" s="8"/>
      <c r="N290" s="7"/>
      <c r="O290" s="7"/>
      <c r="P290" s="7" t="s">
        <v>87</v>
      </c>
      <c r="Q290" s="9">
        <v>46185</v>
      </c>
      <c r="R290" s="7" t="s">
        <v>290</v>
      </c>
      <c r="S290" s="10" t="s">
        <v>1414</v>
      </c>
    </row>
    <row r="291" spans="1:19" ht="27" x14ac:dyDescent="0.25">
      <c r="A291" s="58" t="s">
        <v>1415</v>
      </c>
      <c r="B291" s="7" t="s">
        <v>1416</v>
      </c>
      <c r="C291" s="7" t="s">
        <v>1410</v>
      </c>
      <c r="D291" s="7"/>
      <c r="E291" s="7"/>
      <c r="F291" s="7" t="s">
        <v>289</v>
      </c>
      <c r="G291" s="7" t="s">
        <v>289</v>
      </c>
      <c r="H291" s="8"/>
      <c r="I291" s="7"/>
      <c r="J291" s="7"/>
      <c r="K291" s="7"/>
      <c r="L291" s="8"/>
      <c r="M291" s="8"/>
      <c r="N291" s="7"/>
      <c r="O291" s="7"/>
      <c r="P291" s="7" t="s">
        <v>87</v>
      </c>
      <c r="Q291" s="9">
        <v>46185</v>
      </c>
      <c r="R291" s="7" t="s">
        <v>290</v>
      </c>
      <c r="S291" s="10" t="s">
        <v>1417</v>
      </c>
    </row>
    <row r="292" spans="1:19" ht="27" x14ac:dyDescent="0.25">
      <c r="A292" s="17" t="s">
        <v>1418</v>
      </c>
      <c r="B292" s="7" t="s">
        <v>1419</v>
      </c>
      <c r="C292" s="7" t="s">
        <v>1410</v>
      </c>
      <c r="D292" s="7"/>
      <c r="E292" s="7"/>
      <c r="F292" s="7" t="s">
        <v>289</v>
      </c>
      <c r="G292" s="7" t="s">
        <v>289</v>
      </c>
      <c r="H292" s="8"/>
      <c r="I292" s="7"/>
      <c r="J292" s="7"/>
      <c r="K292" s="7"/>
      <c r="L292" s="8"/>
      <c r="M292" s="8"/>
      <c r="N292" s="7"/>
      <c r="O292" s="7"/>
      <c r="P292" s="7" t="s">
        <v>87</v>
      </c>
      <c r="Q292" s="9">
        <v>46185</v>
      </c>
      <c r="R292" s="7" t="s">
        <v>290</v>
      </c>
      <c r="S292" s="10" t="s">
        <v>1420</v>
      </c>
    </row>
    <row r="293" spans="1:19" ht="81" x14ac:dyDescent="0.25">
      <c r="A293" s="17" t="s">
        <v>1421</v>
      </c>
      <c r="B293" s="7" t="s">
        <v>1422</v>
      </c>
      <c r="C293" s="7" t="s">
        <v>1154</v>
      </c>
      <c r="D293" s="7" t="s">
        <v>1423</v>
      </c>
      <c r="E293" s="7" t="s">
        <v>776</v>
      </c>
      <c r="F293" s="7" t="s">
        <v>289</v>
      </c>
      <c r="G293" s="7" t="s">
        <v>289</v>
      </c>
      <c r="H293" s="8">
        <v>1</v>
      </c>
      <c r="I293" s="7"/>
      <c r="J293" s="7"/>
      <c r="K293" s="7"/>
      <c r="L293" s="8"/>
      <c r="M293" s="8"/>
      <c r="N293" s="7"/>
      <c r="O293" s="7"/>
      <c r="P293" s="7" t="s">
        <v>87</v>
      </c>
      <c r="Q293" s="9">
        <v>46097</v>
      </c>
      <c r="R293" s="7" t="s">
        <v>290</v>
      </c>
      <c r="S293" s="10" t="s">
        <v>1424</v>
      </c>
    </row>
    <row r="294" spans="1:19" ht="81" x14ac:dyDescent="0.25">
      <c r="A294" s="17" t="s">
        <v>1425</v>
      </c>
      <c r="B294" s="7" t="s">
        <v>1426</v>
      </c>
      <c r="C294" s="7" t="s">
        <v>342</v>
      </c>
      <c r="D294" s="7" t="s">
        <v>1427</v>
      </c>
      <c r="E294" s="7" t="s">
        <v>1428</v>
      </c>
      <c r="F294" s="7" t="s">
        <v>308</v>
      </c>
      <c r="G294" s="7" t="s">
        <v>308</v>
      </c>
      <c r="H294" s="8">
        <v>500</v>
      </c>
      <c r="I294" s="7"/>
      <c r="J294" s="7"/>
      <c r="K294" s="7"/>
      <c r="L294" s="8"/>
      <c r="M294" s="8"/>
      <c r="N294" s="7"/>
      <c r="O294" s="7"/>
      <c r="P294" s="7" t="s">
        <v>87</v>
      </c>
      <c r="Q294" s="9">
        <v>46095</v>
      </c>
      <c r="R294" s="7" t="s">
        <v>290</v>
      </c>
      <c r="S294" s="10" t="s">
        <v>1429</v>
      </c>
    </row>
    <row r="295" spans="1:19" ht="40.5" x14ac:dyDescent="0.25">
      <c r="A295" s="17" t="s">
        <v>1430</v>
      </c>
      <c r="B295" s="7" t="s">
        <v>1431</v>
      </c>
      <c r="C295" s="7" t="s">
        <v>596</v>
      </c>
      <c r="D295" s="7"/>
      <c r="E295" s="7"/>
      <c r="F295" s="7" t="s">
        <v>289</v>
      </c>
      <c r="G295" s="7" t="s">
        <v>289</v>
      </c>
      <c r="H295" s="8"/>
      <c r="I295" s="7"/>
      <c r="J295" s="7"/>
      <c r="K295" s="7"/>
      <c r="L295" s="8"/>
      <c r="M295" s="8"/>
      <c r="N295" s="7"/>
      <c r="O295" s="7"/>
      <c r="P295" s="7" t="s">
        <v>87</v>
      </c>
      <c r="Q295" s="9">
        <v>46192</v>
      </c>
      <c r="R295" s="7" t="s">
        <v>290</v>
      </c>
      <c r="S295" s="10" t="s">
        <v>1432</v>
      </c>
    </row>
    <row r="296" spans="1:19" ht="40.5" x14ac:dyDescent="0.25">
      <c r="A296" s="17" t="s">
        <v>1433</v>
      </c>
      <c r="B296" s="7" t="s">
        <v>1434</v>
      </c>
      <c r="C296" s="7" t="s">
        <v>596</v>
      </c>
      <c r="D296" s="7"/>
      <c r="E296" s="7"/>
      <c r="F296" s="7" t="s">
        <v>289</v>
      </c>
      <c r="G296" s="7" t="s">
        <v>289</v>
      </c>
      <c r="H296" s="8"/>
      <c r="I296" s="7"/>
      <c r="J296" s="7"/>
      <c r="K296" s="7"/>
      <c r="L296" s="8"/>
      <c r="M296" s="8"/>
      <c r="N296" s="7"/>
      <c r="O296" s="7"/>
      <c r="P296" s="7" t="s">
        <v>87</v>
      </c>
      <c r="Q296" s="9">
        <v>46192</v>
      </c>
      <c r="R296" s="7" t="s">
        <v>290</v>
      </c>
      <c r="S296" s="10" t="s">
        <v>1435</v>
      </c>
    </row>
    <row r="297" spans="1:19" ht="40.5" x14ac:dyDescent="0.25">
      <c r="A297" s="17" t="s">
        <v>1436</v>
      </c>
      <c r="B297" s="7" t="s">
        <v>1437</v>
      </c>
      <c r="C297" s="7" t="s">
        <v>596</v>
      </c>
      <c r="D297" s="7"/>
      <c r="E297" s="7"/>
      <c r="F297" s="7" t="s">
        <v>289</v>
      </c>
      <c r="G297" s="7" t="s">
        <v>289</v>
      </c>
      <c r="H297" s="8"/>
      <c r="I297" s="7"/>
      <c r="J297" s="7"/>
      <c r="K297" s="7"/>
      <c r="L297" s="8"/>
      <c r="M297" s="8"/>
      <c r="N297" s="7"/>
      <c r="O297" s="7"/>
      <c r="P297" s="7" t="s">
        <v>87</v>
      </c>
      <c r="Q297" s="9">
        <v>46192</v>
      </c>
      <c r="R297" s="7" t="s">
        <v>290</v>
      </c>
      <c r="S297" s="10" t="s">
        <v>1438</v>
      </c>
    </row>
    <row r="298" spans="1:19" ht="40.5" x14ac:dyDescent="0.25">
      <c r="A298" s="17" t="s">
        <v>1439</v>
      </c>
      <c r="B298" s="7" t="s">
        <v>1440</v>
      </c>
      <c r="C298" s="7" t="s">
        <v>596</v>
      </c>
      <c r="D298" s="7"/>
      <c r="E298" s="7"/>
      <c r="F298" s="7" t="s">
        <v>289</v>
      </c>
      <c r="G298" s="7" t="s">
        <v>289</v>
      </c>
      <c r="H298" s="8"/>
      <c r="I298" s="7"/>
      <c r="J298" s="7"/>
      <c r="K298" s="7"/>
      <c r="L298" s="8"/>
      <c r="M298" s="8"/>
      <c r="N298" s="7"/>
      <c r="O298" s="7"/>
      <c r="P298" s="7" t="s">
        <v>87</v>
      </c>
      <c r="Q298" s="9">
        <v>46192</v>
      </c>
      <c r="R298" s="7" t="s">
        <v>290</v>
      </c>
      <c r="S298" s="10" t="s">
        <v>1441</v>
      </c>
    </row>
    <row r="299" spans="1:19" ht="40.5" x14ac:dyDescent="0.25">
      <c r="A299" s="17" t="s">
        <v>1442</v>
      </c>
      <c r="B299" s="7" t="s">
        <v>1443</v>
      </c>
      <c r="C299" s="7" t="s">
        <v>596</v>
      </c>
      <c r="D299" s="7"/>
      <c r="E299" s="7"/>
      <c r="F299" s="7" t="s">
        <v>289</v>
      </c>
      <c r="G299" s="7" t="s">
        <v>289</v>
      </c>
      <c r="H299" s="8"/>
      <c r="I299" s="7"/>
      <c r="J299" s="7"/>
      <c r="K299" s="7"/>
      <c r="L299" s="8"/>
      <c r="M299" s="8"/>
      <c r="N299" s="7"/>
      <c r="O299" s="7"/>
      <c r="P299" s="7" t="s">
        <v>87</v>
      </c>
      <c r="Q299" s="9">
        <v>46192</v>
      </c>
      <c r="R299" s="7" t="s">
        <v>290</v>
      </c>
      <c r="S299" s="10" t="s">
        <v>1444</v>
      </c>
    </row>
    <row r="300" spans="1:19" ht="40.5" x14ac:dyDescent="0.25">
      <c r="A300" s="17" t="s">
        <v>1445</v>
      </c>
      <c r="B300" s="7" t="s">
        <v>1446</v>
      </c>
      <c r="C300" s="7" t="s">
        <v>596</v>
      </c>
      <c r="D300" s="7"/>
      <c r="E300" s="7"/>
      <c r="F300" s="7" t="s">
        <v>289</v>
      </c>
      <c r="G300" s="7" t="s">
        <v>289</v>
      </c>
      <c r="H300" s="8"/>
      <c r="I300" s="7"/>
      <c r="J300" s="7"/>
      <c r="K300" s="7"/>
      <c r="L300" s="8"/>
      <c r="M300" s="8"/>
      <c r="N300" s="7"/>
      <c r="O300" s="7"/>
      <c r="P300" s="7" t="s">
        <v>87</v>
      </c>
      <c r="Q300" s="9">
        <v>46192</v>
      </c>
      <c r="R300" s="7" t="s">
        <v>290</v>
      </c>
      <c r="S300" s="10" t="s">
        <v>1447</v>
      </c>
    </row>
    <row r="301" spans="1:19" ht="27" x14ac:dyDescent="0.25">
      <c r="A301" s="17" t="s">
        <v>1448</v>
      </c>
      <c r="B301" s="7" t="s">
        <v>1449</v>
      </c>
      <c r="C301" s="7" t="s">
        <v>338</v>
      </c>
      <c r="D301" s="7"/>
      <c r="E301" s="7"/>
      <c r="F301" s="7" t="s">
        <v>289</v>
      </c>
      <c r="G301" s="7" t="s">
        <v>289</v>
      </c>
      <c r="H301" s="8"/>
      <c r="I301" s="7"/>
      <c r="J301" s="7"/>
      <c r="K301" s="7"/>
      <c r="L301" s="8"/>
      <c r="M301" s="8"/>
      <c r="N301" s="7"/>
      <c r="O301" s="7"/>
      <c r="P301" s="7" t="s">
        <v>87</v>
      </c>
      <c r="Q301" s="9">
        <v>46185</v>
      </c>
      <c r="R301" s="7" t="s">
        <v>290</v>
      </c>
      <c r="S301" s="10" t="s">
        <v>1450</v>
      </c>
    </row>
    <row r="302" spans="1:19" ht="81" x14ac:dyDescent="0.25">
      <c r="A302" s="17" t="s">
        <v>1451</v>
      </c>
      <c r="B302" s="7" t="s">
        <v>1452</v>
      </c>
      <c r="C302" s="7" t="s">
        <v>1154</v>
      </c>
      <c r="D302" s="7" t="s">
        <v>1453</v>
      </c>
      <c r="E302" s="7" t="s">
        <v>1454</v>
      </c>
      <c r="F302" s="7" t="s">
        <v>289</v>
      </c>
      <c r="G302" s="7" t="s">
        <v>289</v>
      </c>
      <c r="H302" s="8">
        <v>2</v>
      </c>
      <c r="I302" s="7"/>
      <c r="J302" s="7"/>
      <c r="K302" s="7"/>
      <c r="L302" s="8"/>
      <c r="M302" s="8"/>
      <c r="N302" s="7"/>
      <c r="O302" s="7"/>
      <c r="P302" s="7" t="s">
        <v>87</v>
      </c>
      <c r="Q302" s="9">
        <v>46147</v>
      </c>
      <c r="R302" s="7" t="s">
        <v>290</v>
      </c>
      <c r="S302" s="10" t="s">
        <v>1455</v>
      </c>
    </row>
    <row r="303" spans="1:19" ht="81" x14ac:dyDescent="0.25">
      <c r="A303" s="17" t="s">
        <v>1456</v>
      </c>
      <c r="B303" s="7" t="s">
        <v>1457</v>
      </c>
      <c r="C303" s="7" t="s">
        <v>1154</v>
      </c>
      <c r="D303" s="7" t="s">
        <v>1458</v>
      </c>
      <c r="E303" s="7" t="s">
        <v>1459</v>
      </c>
      <c r="F303" s="7" t="s">
        <v>289</v>
      </c>
      <c r="G303" s="7" t="s">
        <v>289</v>
      </c>
      <c r="H303" s="8">
        <v>1</v>
      </c>
      <c r="I303" s="7"/>
      <c r="J303" s="7"/>
      <c r="K303" s="7"/>
      <c r="L303" s="8"/>
      <c r="M303" s="8"/>
      <c r="N303" s="7"/>
      <c r="O303" s="7"/>
      <c r="P303" s="7" t="s">
        <v>87</v>
      </c>
      <c r="Q303" s="9">
        <v>46094</v>
      </c>
      <c r="R303" s="7" t="s">
        <v>290</v>
      </c>
      <c r="S303" s="10" t="s">
        <v>1460</v>
      </c>
    </row>
    <row r="304" spans="1:19" ht="81" x14ac:dyDescent="0.25">
      <c r="A304" s="17" t="s">
        <v>1461</v>
      </c>
      <c r="B304" s="7" t="s">
        <v>1462</v>
      </c>
      <c r="C304" s="7" t="s">
        <v>1154</v>
      </c>
      <c r="D304" s="7" t="s">
        <v>1463</v>
      </c>
      <c r="E304" s="7" t="s">
        <v>1459</v>
      </c>
      <c r="F304" s="7" t="s">
        <v>289</v>
      </c>
      <c r="G304" s="7" t="s">
        <v>289</v>
      </c>
      <c r="H304" s="8">
        <v>1</v>
      </c>
      <c r="I304" s="7"/>
      <c r="J304" s="7"/>
      <c r="K304" s="7"/>
      <c r="L304" s="8"/>
      <c r="M304" s="8"/>
      <c r="N304" s="7"/>
      <c r="O304" s="7"/>
      <c r="P304" s="7" t="s">
        <v>87</v>
      </c>
      <c r="Q304" s="9">
        <v>46097</v>
      </c>
      <c r="R304" s="7" t="s">
        <v>290</v>
      </c>
      <c r="S304" s="10" t="s">
        <v>1464</v>
      </c>
    </row>
    <row r="305" spans="1:19" ht="27" x14ac:dyDescent="0.25">
      <c r="A305" s="17" t="s">
        <v>1465</v>
      </c>
      <c r="B305" s="7" t="s">
        <v>1466</v>
      </c>
      <c r="C305" s="7" t="s">
        <v>491</v>
      </c>
      <c r="D305" s="7"/>
      <c r="E305" s="7"/>
      <c r="F305" s="7" t="s">
        <v>289</v>
      </c>
      <c r="G305" s="7" t="s">
        <v>289</v>
      </c>
      <c r="H305" s="8"/>
      <c r="I305" s="7"/>
      <c r="J305" s="7"/>
      <c r="K305" s="7"/>
      <c r="L305" s="8"/>
      <c r="M305" s="8"/>
      <c r="N305" s="7"/>
      <c r="O305" s="7"/>
      <c r="P305" s="7" t="s">
        <v>87</v>
      </c>
      <c r="Q305" s="9">
        <v>46197</v>
      </c>
      <c r="R305" s="7" t="s">
        <v>290</v>
      </c>
      <c r="S305" s="10" t="s">
        <v>1467</v>
      </c>
    </row>
    <row r="306" spans="1:19" ht="40.5" x14ac:dyDescent="0.25">
      <c r="A306" s="17" t="s">
        <v>1468</v>
      </c>
      <c r="B306" s="7" t="s">
        <v>1469</v>
      </c>
      <c r="C306" s="7" t="s">
        <v>378</v>
      </c>
      <c r="D306" s="7"/>
      <c r="E306" s="7"/>
      <c r="F306" s="7" t="s">
        <v>289</v>
      </c>
      <c r="G306" s="7" t="s">
        <v>289</v>
      </c>
      <c r="H306" s="8"/>
      <c r="I306" s="7"/>
      <c r="J306" s="7"/>
      <c r="K306" s="7"/>
      <c r="L306" s="8"/>
      <c r="M306" s="8"/>
      <c r="N306" s="7"/>
      <c r="O306" s="7"/>
      <c r="P306" s="7" t="s">
        <v>87</v>
      </c>
      <c r="Q306" s="9">
        <v>46192</v>
      </c>
      <c r="R306" s="7" t="s">
        <v>290</v>
      </c>
      <c r="S306" s="10" t="s">
        <v>1470</v>
      </c>
    </row>
    <row r="307" spans="1:19" ht="40.5" x14ac:dyDescent="0.25">
      <c r="A307" s="17" t="s">
        <v>1471</v>
      </c>
      <c r="B307" s="7" t="s">
        <v>1472</v>
      </c>
      <c r="C307" s="7" t="s">
        <v>596</v>
      </c>
      <c r="D307" s="7"/>
      <c r="E307" s="7"/>
      <c r="F307" s="7" t="s">
        <v>289</v>
      </c>
      <c r="G307" s="7" t="s">
        <v>289</v>
      </c>
      <c r="H307" s="8"/>
      <c r="I307" s="7"/>
      <c r="J307" s="7"/>
      <c r="K307" s="7"/>
      <c r="L307" s="8"/>
      <c r="M307" s="8"/>
      <c r="N307" s="7"/>
      <c r="O307" s="7"/>
      <c r="P307" s="7" t="s">
        <v>87</v>
      </c>
      <c r="Q307" s="9">
        <v>46214</v>
      </c>
      <c r="R307" s="7" t="s">
        <v>290</v>
      </c>
      <c r="S307" s="10" t="s">
        <v>1473</v>
      </c>
    </row>
    <row r="308" spans="1:19" ht="67.5" x14ac:dyDescent="0.25">
      <c r="A308" s="17" t="s">
        <v>1474</v>
      </c>
      <c r="B308" s="7" t="s">
        <v>1475</v>
      </c>
      <c r="C308" s="7" t="s">
        <v>460</v>
      </c>
      <c r="D308" s="7" t="s">
        <v>1476</v>
      </c>
      <c r="E308" s="7" t="s">
        <v>688</v>
      </c>
      <c r="F308" s="7" t="s">
        <v>25</v>
      </c>
      <c r="G308" s="7" t="s">
        <v>24</v>
      </c>
      <c r="H308" s="8">
        <v>1000</v>
      </c>
      <c r="I308" s="7"/>
      <c r="J308" s="7"/>
      <c r="K308" s="7"/>
      <c r="L308" s="8"/>
      <c r="M308" s="8"/>
      <c r="N308" s="7"/>
      <c r="O308" s="7"/>
      <c r="P308" s="7" t="s">
        <v>87</v>
      </c>
      <c r="Q308" s="9">
        <v>46172</v>
      </c>
      <c r="R308" s="7" t="s">
        <v>290</v>
      </c>
      <c r="S308" s="10" t="s">
        <v>1477</v>
      </c>
    </row>
    <row r="309" spans="1:19" ht="40.5" x14ac:dyDescent="0.25">
      <c r="A309" s="17" t="s">
        <v>1478</v>
      </c>
      <c r="B309" s="7" t="s">
        <v>1479</v>
      </c>
      <c r="C309" s="7" t="s">
        <v>1480</v>
      </c>
      <c r="D309" s="7"/>
      <c r="E309" s="7"/>
      <c r="F309" s="7" t="s">
        <v>289</v>
      </c>
      <c r="G309" s="7" t="s">
        <v>289</v>
      </c>
      <c r="H309" s="8"/>
      <c r="I309" s="7"/>
      <c r="J309" s="7"/>
      <c r="K309" s="7"/>
      <c r="L309" s="8"/>
      <c r="M309" s="8"/>
      <c r="N309" s="7"/>
      <c r="O309" s="7"/>
      <c r="P309" s="7" t="s">
        <v>87</v>
      </c>
      <c r="Q309" s="9">
        <v>46183</v>
      </c>
      <c r="R309" s="7" t="s">
        <v>290</v>
      </c>
      <c r="S309" s="10" t="s">
        <v>1481</v>
      </c>
    </row>
    <row r="310" spans="1:19" ht="81" x14ac:dyDescent="0.25">
      <c r="A310" s="17" t="s">
        <v>1482</v>
      </c>
      <c r="B310" s="7" t="s">
        <v>1483</v>
      </c>
      <c r="C310" s="7" t="s">
        <v>460</v>
      </c>
      <c r="D310" s="7" t="s">
        <v>1484</v>
      </c>
      <c r="E310" s="7" t="s">
        <v>1485</v>
      </c>
      <c r="F310" s="7" t="s">
        <v>25</v>
      </c>
      <c r="G310" s="7" t="s">
        <v>25</v>
      </c>
      <c r="H310" s="8">
        <v>500</v>
      </c>
      <c r="I310" s="7"/>
      <c r="J310" s="7"/>
      <c r="K310" s="7"/>
      <c r="L310" s="8"/>
      <c r="M310" s="8"/>
      <c r="N310" s="7"/>
      <c r="O310" s="7"/>
      <c r="P310" s="7" t="s">
        <v>87</v>
      </c>
      <c r="Q310" s="9">
        <v>46108</v>
      </c>
      <c r="R310" s="7" t="s">
        <v>290</v>
      </c>
      <c r="S310" s="10" t="s">
        <v>1486</v>
      </c>
    </row>
    <row r="311" spans="1:19" ht="40.5" x14ac:dyDescent="0.25">
      <c r="A311" s="17" t="s">
        <v>1487</v>
      </c>
      <c r="B311" s="7" t="s">
        <v>1488</v>
      </c>
      <c r="C311" s="7" t="s">
        <v>288</v>
      </c>
      <c r="D311" s="7"/>
      <c r="E311" s="7"/>
      <c r="F311" s="7" t="s">
        <v>289</v>
      </c>
      <c r="G311" s="7" t="s">
        <v>289</v>
      </c>
      <c r="H311" s="8"/>
      <c r="I311" s="7"/>
      <c r="J311" s="7"/>
      <c r="K311" s="7"/>
      <c r="L311" s="8"/>
      <c r="M311" s="8"/>
      <c r="N311" s="7"/>
      <c r="O311" s="7"/>
      <c r="P311" s="7" t="s">
        <v>87</v>
      </c>
      <c r="Q311" s="9">
        <v>46143</v>
      </c>
      <c r="R311" s="7" t="s">
        <v>290</v>
      </c>
      <c r="S311" s="10" t="s">
        <v>1489</v>
      </c>
    </row>
    <row r="312" spans="1:19" ht="81" x14ac:dyDescent="0.25">
      <c r="A312" s="17" t="s">
        <v>1490</v>
      </c>
      <c r="B312" s="7" t="s">
        <v>1491</v>
      </c>
      <c r="C312" s="7" t="s">
        <v>327</v>
      </c>
      <c r="D312" s="7" t="s">
        <v>1492</v>
      </c>
      <c r="E312" s="7" t="s">
        <v>1493</v>
      </c>
      <c r="F312" s="7" t="s">
        <v>25</v>
      </c>
      <c r="G312" s="7" t="s">
        <v>25</v>
      </c>
      <c r="H312" s="8">
        <v>3000</v>
      </c>
      <c r="I312" s="7"/>
      <c r="J312" s="7"/>
      <c r="K312" s="7"/>
      <c r="L312" s="8"/>
      <c r="M312" s="8"/>
      <c r="N312" s="7"/>
      <c r="O312" s="7"/>
      <c r="P312" s="7" t="s">
        <v>87</v>
      </c>
      <c r="Q312" s="9">
        <v>46149</v>
      </c>
      <c r="R312" s="7" t="s">
        <v>290</v>
      </c>
      <c r="S312" s="10" t="s">
        <v>1494</v>
      </c>
    </row>
    <row r="313" spans="1:19" ht="40.5" x14ac:dyDescent="0.25">
      <c r="A313" s="17" t="s">
        <v>1495</v>
      </c>
      <c r="B313" s="7" t="s">
        <v>1496</v>
      </c>
      <c r="C313" s="7" t="s">
        <v>378</v>
      </c>
      <c r="D313" s="7"/>
      <c r="E313" s="7"/>
      <c r="F313" s="7" t="s">
        <v>289</v>
      </c>
      <c r="G313" s="7" t="s">
        <v>289</v>
      </c>
      <c r="H313" s="8"/>
      <c r="I313" s="7"/>
      <c r="J313" s="7"/>
      <c r="K313" s="7"/>
      <c r="L313" s="8"/>
      <c r="M313" s="8"/>
      <c r="N313" s="7"/>
      <c r="O313" s="7"/>
      <c r="P313" s="7" t="s">
        <v>87</v>
      </c>
      <c r="Q313" s="9">
        <v>46221</v>
      </c>
      <c r="R313" s="7" t="s">
        <v>290</v>
      </c>
      <c r="S313" s="10" t="s">
        <v>1497</v>
      </c>
    </row>
    <row r="314" spans="1:19" ht="54" x14ac:dyDescent="0.25">
      <c r="A314" s="17" t="s">
        <v>1498</v>
      </c>
      <c r="B314" s="7" t="s">
        <v>1499</v>
      </c>
      <c r="C314" s="7" t="s">
        <v>692</v>
      </c>
      <c r="D314" s="7" t="s">
        <v>1500</v>
      </c>
      <c r="E314" s="7" t="s">
        <v>439</v>
      </c>
      <c r="F314" s="7" t="s">
        <v>289</v>
      </c>
      <c r="G314" s="7" t="s">
        <v>289</v>
      </c>
      <c r="H314" s="8">
        <v>1</v>
      </c>
      <c r="I314" s="7"/>
      <c r="J314" s="7"/>
      <c r="K314" s="7"/>
      <c r="L314" s="8"/>
      <c r="M314" s="8"/>
      <c r="N314" s="7"/>
      <c r="O314" s="7"/>
      <c r="P314" s="7" t="s">
        <v>87</v>
      </c>
      <c r="Q314" s="9">
        <v>46105</v>
      </c>
      <c r="R314" s="7" t="s">
        <v>290</v>
      </c>
      <c r="S314" s="10" t="s">
        <v>1501</v>
      </c>
    </row>
    <row r="315" spans="1:19" ht="81" x14ac:dyDescent="0.25">
      <c r="A315" s="17" t="s">
        <v>1502</v>
      </c>
      <c r="B315" s="7" t="s">
        <v>1503</v>
      </c>
      <c r="C315" s="7" t="s">
        <v>1404</v>
      </c>
      <c r="D315" s="7" t="s">
        <v>1504</v>
      </c>
      <c r="E315" s="7" t="s">
        <v>1505</v>
      </c>
      <c r="F315" s="7" t="s">
        <v>25</v>
      </c>
      <c r="G315" s="7" t="s">
        <v>25</v>
      </c>
      <c r="H315" s="8">
        <v>80</v>
      </c>
      <c r="I315" s="7"/>
      <c r="J315" s="7"/>
      <c r="K315" s="7"/>
      <c r="L315" s="8"/>
      <c r="M315" s="8"/>
      <c r="N315" s="7"/>
      <c r="O315" s="7"/>
      <c r="P315" s="7" t="s">
        <v>87</v>
      </c>
      <c r="Q315" s="9">
        <v>46097</v>
      </c>
      <c r="R315" s="7" t="s">
        <v>290</v>
      </c>
      <c r="S315" s="10" t="s">
        <v>1506</v>
      </c>
    </row>
    <row r="316" spans="1:19" ht="27" x14ac:dyDescent="0.25">
      <c r="A316" s="17" t="s">
        <v>1507</v>
      </c>
      <c r="B316" s="7" t="s">
        <v>1508</v>
      </c>
      <c r="C316" s="7" t="s">
        <v>437</v>
      </c>
      <c r="D316" s="7"/>
      <c r="E316" s="7"/>
      <c r="F316" s="7" t="s">
        <v>289</v>
      </c>
      <c r="G316" s="7" t="s">
        <v>289</v>
      </c>
      <c r="H316" s="8"/>
      <c r="I316" s="7"/>
      <c r="J316" s="7"/>
      <c r="K316" s="7"/>
      <c r="L316" s="8"/>
      <c r="M316" s="8"/>
      <c r="N316" s="7"/>
      <c r="O316" s="7"/>
      <c r="P316" s="7" t="s">
        <v>87</v>
      </c>
      <c r="Q316" s="9">
        <v>46168</v>
      </c>
      <c r="R316" s="7" t="s">
        <v>290</v>
      </c>
      <c r="S316" s="10" t="s">
        <v>1509</v>
      </c>
    </row>
    <row r="317" spans="1:19" ht="27" x14ac:dyDescent="0.25">
      <c r="A317" s="17" t="s">
        <v>1510</v>
      </c>
      <c r="B317" s="7" t="s">
        <v>1511</v>
      </c>
      <c r="C317" s="7" t="s">
        <v>487</v>
      </c>
      <c r="D317" s="7"/>
      <c r="E317" s="7"/>
      <c r="F317" s="7" t="s">
        <v>289</v>
      </c>
      <c r="G317" s="7" t="s">
        <v>289</v>
      </c>
      <c r="H317" s="8"/>
      <c r="I317" s="7"/>
      <c r="J317" s="7"/>
      <c r="K317" s="7"/>
      <c r="L317" s="8"/>
      <c r="M317" s="8"/>
      <c r="N317" s="7"/>
      <c r="O317" s="7"/>
      <c r="P317" s="7" t="s">
        <v>87</v>
      </c>
      <c r="Q317" s="9">
        <v>46182</v>
      </c>
      <c r="R317" s="7" t="s">
        <v>290</v>
      </c>
      <c r="S317" s="10" t="s">
        <v>1512</v>
      </c>
    </row>
    <row r="318" spans="1:19" ht="27" x14ac:dyDescent="0.25">
      <c r="A318" s="17" t="s">
        <v>1513</v>
      </c>
      <c r="B318" s="7" t="s">
        <v>1514</v>
      </c>
      <c r="C318" s="7" t="s">
        <v>487</v>
      </c>
      <c r="D318" s="7"/>
      <c r="E318" s="7"/>
      <c r="F318" s="7" t="s">
        <v>289</v>
      </c>
      <c r="G318" s="7" t="s">
        <v>289</v>
      </c>
      <c r="H318" s="8"/>
      <c r="I318" s="7"/>
      <c r="J318" s="7"/>
      <c r="K318" s="7"/>
      <c r="L318" s="8"/>
      <c r="M318" s="8"/>
      <c r="N318" s="7"/>
      <c r="O318" s="7"/>
      <c r="P318" s="7" t="s">
        <v>87</v>
      </c>
      <c r="Q318" s="9">
        <v>46182</v>
      </c>
      <c r="R318" s="7" t="s">
        <v>290</v>
      </c>
      <c r="S318" s="10" t="s">
        <v>1515</v>
      </c>
    </row>
    <row r="319" spans="1:19" ht="27" x14ac:dyDescent="0.25">
      <c r="A319" s="17" t="s">
        <v>1516</v>
      </c>
      <c r="B319" s="7" t="s">
        <v>1517</v>
      </c>
      <c r="C319" s="7" t="s">
        <v>487</v>
      </c>
      <c r="D319" s="7"/>
      <c r="E319" s="7"/>
      <c r="F319" s="7" t="s">
        <v>289</v>
      </c>
      <c r="G319" s="7" t="s">
        <v>289</v>
      </c>
      <c r="H319" s="8"/>
      <c r="I319" s="7"/>
      <c r="J319" s="7"/>
      <c r="K319" s="7"/>
      <c r="L319" s="8"/>
      <c r="M319" s="8"/>
      <c r="N319" s="7"/>
      <c r="O319" s="7"/>
      <c r="P319" s="7" t="s">
        <v>87</v>
      </c>
      <c r="Q319" s="9">
        <v>46182</v>
      </c>
      <c r="R319" s="7" t="s">
        <v>290</v>
      </c>
      <c r="S319" s="10" t="s">
        <v>1518</v>
      </c>
    </row>
    <row r="320" spans="1:19" ht="27" x14ac:dyDescent="0.25">
      <c r="A320" s="58" t="s">
        <v>1519</v>
      </c>
      <c r="B320" s="7" t="s">
        <v>1520</v>
      </c>
      <c r="C320" s="7" t="s">
        <v>348</v>
      </c>
      <c r="D320" s="7"/>
      <c r="E320" s="7"/>
      <c r="F320" s="7" t="s">
        <v>289</v>
      </c>
      <c r="G320" s="7" t="s">
        <v>289</v>
      </c>
      <c r="H320" s="8"/>
      <c r="I320" s="7"/>
      <c r="J320" s="7"/>
      <c r="K320" s="7"/>
      <c r="L320" s="8"/>
      <c r="M320" s="8"/>
      <c r="N320" s="7"/>
      <c r="O320" s="7"/>
      <c r="P320" s="7" t="s">
        <v>87</v>
      </c>
      <c r="Q320" s="9">
        <v>46195</v>
      </c>
      <c r="R320" s="7" t="s">
        <v>290</v>
      </c>
      <c r="S320" s="10" t="s">
        <v>1521</v>
      </c>
    </row>
    <row r="321" spans="1:19" ht="40.5" x14ac:dyDescent="0.25">
      <c r="A321" s="17" t="s">
        <v>1522</v>
      </c>
      <c r="B321" s="7" t="s">
        <v>1523</v>
      </c>
      <c r="C321" s="7" t="s">
        <v>596</v>
      </c>
      <c r="D321" s="7"/>
      <c r="E321" s="7"/>
      <c r="F321" s="7" t="s">
        <v>289</v>
      </c>
      <c r="G321" s="7" t="s">
        <v>289</v>
      </c>
      <c r="H321" s="8"/>
      <c r="I321" s="7"/>
      <c r="J321" s="7"/>
      <c r="K321" s="7"/>
      <c r="L321" s="8"/>
      <c r="M321" s="8"/>
      <c r="N321" s="7"/>
      <c r="O321" s="7"/>
      <c r="P321" s="7" t="s">
        <v>87</v>
      </c>
      <c r="Q321" s="9">
        <v>46214</v>
      </c>
      <c r="R321" s="7" t="s">
        <v>290</v>
      </c>
      <c r="S321" s="10" t="s">
        <v>1524</v>
      </c>
    </row>
    <row r="322" spans="1:19" ht="27" x14ac:dyDescent="0.25">
      <c r="A322" s="17" t="s">
        <v>1525</v>
      </c>
      <c r="B322" s="7" t="s">
        <v>1526</v>
      </c>
      <c r="C322" s="7" t="s">
        <v>1029</v>
      </c>
      <c r="D322" s="7"/>
      <c r="E322" s="7"/>
      <c r="F322" s="7" t="s">
        <v>289</v>
      </c>
      <c r="G322" s="7" t="s">
        <v>289</v>
      </c>
      <c r="H322" s="8"/>
      <c r="I322" s="7"/>
      <c r="J322" s="7"/>
      <c r="K322" s="7"/>
      <c r="L322" s="8"/>
      <c r="M322" s="8"/>
      <c r="N322" s="7"/>
      <c r="O322" s="7"/>
      <c r="P322" s="7" t="s">
        <v>87</v>
      </c>
      <c r="Q322" s="9">
        <v>46185</v>
      </c>
      <c r="R322" s="7" t="s">
        <v>290</v>
      </c>
      <c r="S322" s="10" t="s">
        <v>1527</v>
      </c>
    </row>
    <row r="323" spans="1:19" ht="81" x14ac:dyDescent="0.25">
      <c r="A323" s="17" t="s">
        <v>1528</v>
      </c>
      <c r="B323" s="7" t="s">
        <v>1529</v>
      </c>
      <c r="C323" s="7" t="s">
        <v>500</v>
      </c>
      <c r="D323" s="7" t="s">
        <v>1530</v>
      </c>
      <c r="E323" s="7" t="s">
        <v>361</v>
      </c>
      <c r="F323" s="7" t="s">
        <v>25</v>
      </c>
      <c r="G323" s="7" t="s">
        <v>25</v>
      </c>
      <c r="H323" s="8">
        <v>1000</v>
      </c>
      <c r="I323" s="7"/>
      <c r="J323" s="7"/>
      <c r="K323" s="7"/>
      <c r="L323" s="8"/>
      <c r="M323" s="8"/>
      <c r="N323" s="7"/>
      <c r="O323" s="7"/>
      <c r="P323" s="7" t="s">
        <v>87</v>
      </c>
      <c r="Q323" s="9">
        <v>46076</v>
      </c>
      <c r="R323" s="7" t="s">
        <v>290</v>
      </c>
      <c r="S323" s="10" t="s">
        <v>1531</v>
      </c>
    </row>
    <row r="324" spans="1:19" ht="81" x14ac:dyDescent="0.25">
      <c r="A324" s="17" t="s">
        <v>1532</v>
      </c>
      <c r="B324" s="7" t="s">
        <v>1533</v>
      </c>
      <c r="C324" s="7" t="s">
        <v>500</v>
      </c>
      <c r="D324" s="7" t="s">
        <v>1534</v>
      </c>
      <c r="E324" s="7" t="s">
        <v>1094</v>
      </c>
      <c r="F324" s="7" t="s">
        <v>25</v>
      </c>
      <c r="G324" s="7" t="s">
        <v>25</v>
      </c>
      <c r="H324" s="8">
        <v>2000</v>
      </c>
      <c r="I324" s="7"/>
      <c r="J324" s="7"/>
      <c r="K324" s="7"/>
      <c r="L324" s="8"/>
      <c r="M324" s="8"/>
      <c r="N324" s="7"/>
      <c r="O324" s="7"/>
      <c r="P324" s="7" t="s">
        <v>87</v>
      </c>
      <c r="Q324" s="9">
        <v>46178</v>
      </c>
      <c r="R324" s="7" t="s">
        <v>290</v>
      </c>
      <c r="S324" s="10" t="s">
        <v>1535</v>
      </c>
    </row>
    <row r="325" spans="1:19" ht="54" x14ac:dyDescent="0.25">
      <c r="A325" s="17" t="s">
        <v>1536</v>
      </c>
      <c r="B325" s="7" t="s">
        <v>1537</v>
      </c>
      <c r="C325" s="7" t="s">
        <v>437</v>
      </c>
      <c r="D325" s="7" t="s">
        <v>1538</v>
      </c>
      <c r="E325" s="7" t="s">
        <v>439</v>
      </c>
      <c r="F325" s="7" t="s">
        <v>289</v>
      </c>
      <c r="G325" s="7" t="s">
        <v>289</v>
      </c>
      <c r="H325" s="8">
        <v>1</v>
      </c>
      <c r="I325" s="7"/>
      <c r="J325" s="7"/>
      <c r="K325" s="7"/>
      <c r="L325" s="8"/>
      <c r="M325" s="8"/>
      <c r="N325" s="7"/>
      <c r="O325" s="7"/>
      <c r="P325" s="7" t="s">
        <v>87</v>
      </c>
      <c r="Q325" s="9">
        <v>46105</v>
      </c>
      <c r="R325" s="7" t="s">
        <v>290</v>
      </c>
      <c r="S325" s="10" t="s">
        <v>1539</v>
      </c>
    </row>
    <row r="326" spans="1:19" ht="81" x14ac:dyDescent="0.25">
      <c r="A326" s="17" t="s">
        <v>1540</v>
      </c>
      <c r="B326" s="7" t="s">
        <v>1541</v>
      </c>
      <c r="C326" s="7" t="s">
        <v>455</v>
      </c>
      <c r="D326" s="7" t="s">
        <v>1542</v>
      </c>
      <c r="E326" s="7" t="s">
        <v>523</v>
      </c>
      <c r="F326" s="7" t="s">
        <v>25</v>
      </c>
      <c r="G326" s="7" t="s">
        <v>25</v>
      </c>
      <c r="H326" s="8">
        <v>500</v>
      </c>
      <c r="I326" s="7"/>
      <c r="J326" s="7"/>
      <c r="K326" s="7"/>
      <c r="L326" s="8"/>
      <c r="M326" s="8"/>
      <c r="N326" s="7"/>
      <c r="O326" s="7"/>
      <c r="P326" s="7" t="s">
        <v>87</v>
      </c>
      <c r="Q326" s="9">
        <v>46095</v>
      </c>
      <c r="R326" s="7" t="s">
        <v>290</v>
      </c>
      <c r="S326" s="10" t="s">
        <v>1543</v>
      </c>
    </row>
    <row r="327" spans="1:19" ht="27" x14ac:dyDescent="0.25">
      <c r="A327" s="17" t="s">
        <v>1544</v>
      </c>
      <c r="B327" s="7" t="s">
        <v>1545</v>
      </c>
      <c r="C327" s="7" t="s">
        <v>1410</v>
      </c>
      <c r="D327" s="7"/>
      <c r="E327" s="7"/>
      <c r="F327" s="7" t="s">
        <v>289</v>
      </c>
      <c r="G327" s="7" t="s">
        <v>289</v>
      </c>
      <c r="H327" s="8"/>
      <c r="I327" s="7"/>
      <c r="J327" s="7"/>
      <c r="K327" s="7"/>
      <c r="L327" s="8"/>
      <c r="M327" s="8"/>
      <c r="N327" s="7"/>
      <c r="O327" s="7"/>
      <c r="P327" s="7" t="s">
        <v>87</v>
      </c>
      <c r="Q327" s="9">
        <v>46185</v>
      </c>
      <c r="R327" s="7" t="s">
        <v>290</v>
      </c>
      <c r="S327" s="10" t="s">
        <v>1546</v>
      </c>
    </row>
    <row r="328" spans="1:19" ht="81" x14ac:dyDescent="0.25">
      <c r="A328" s="17" t="s">
        <v>1547</v>
      </c>
      <c r="B328" s="7" t="s">
        <v>1548</v>
      </c>
      <c r="C328" s="7" t="s">
        <v>475</v>
      </c>
      <c r="D328" s="7" t="s">
        <v>1549</v>
      </c>
      <c r="E328" s="7" t="s">
        <v>1550</v>
      </c>
      <c r="F328" s="7" t="s">
        <v>25</v>
      </c>
      <c r="G328" s="7" t="s">
        <v>24</v>
      </c>
      <c r="H328" s="8">
        <v>2</v>
      </c>
      <c r="I328" s="7"/>
      <c r="J328" s="7"/>
      <c r="K328" s="7"/>
      <c r="L328" s="8"/>
      <c r="M328" s="8"/>
      <c r="N328" s="7"/>
      <c r="O328" s="7"/>
      <c r="P328" s="7" t="s">
        <v>87</v>
      </c>
      <c r="Q328" s="9">
        <v>46097</v>
      </c>
      <c r="R328" s="7" t="s">
        <v>290</v>
      </c>
      <c r="S328" s="10" t="s">
        <v>1551</v>
      </c>
    </row>
    <row r="329" spans="1:19" ht="54" x14ac:dyDescent="0.25">
      <c r="A329" s="17" t="s">
        <v>1552</v>
      </c>
      <c r="B329" s="7" t="s">
        <v>1553</v>
      </c>
      <c r="C329" s="7" t="s">
        <v>846</v>
      </c>
      <c r="D329" s="7" t="s">
        <v>1554</v>
      </c>
      <c r="E329" s="7" t="s">
        <v>439</v>
      </c>
      <c r="F329" s="7" t="s">
        <v>289</v>
      </c>
      <c r="G329" s="7" t="s">
        <v>289</v>
      </c>
      <c r="H329" s="8">
        <v>1</v>
      </c>
      <c r="I329" s="7"/>
      <c r="J329" s="7"/>
      <c r="K329" s="7"/>
      <c r="L329" s="8"/>
      <c r="M329" s="8"/>
      <c r="N329" s="7"/>
      <c r="O329" s="7"/>
      <c r="P329" s="7" t="s">
        <v>87</v>
      </c>
      <c r="Q329" s="9">
        <v>46105</v>
      </c>
      <c r="R329" s="7" t="s">
        <v>290</v>
      </c>
      <c r="S329" s="10" t="s">
        <v>1555</v>
      </c>
    </row>
    <row r="330" spans="1:19" ht="54" x14ac:dyDescent="0.25">
      <c r="A330" s="17" t="s">
        <v>1556</v>
      </c>
      <c r="B330" s="7" t="s">
        <v>1557</v>
      </c>
      <c r="C330" s="7" t="s">
        <v>846</v>
      </c>
      <c r="D330" s="7" t="s">
        <v>1558</v>
      </c>
      <c r="E330" s="7" t="s">
        <v>439</v>
      </c>
      <c r="F330" s="7" t="s">
        <v>289</v>
      </c>
      <c r="G330" s="7" t="s">
        <v>289</v>
      </c>
      <c r="H330" s="8">
        <v>1</v>
      </c>
      <c r="I330" s="7"/>
      <c r="J330" s="7"/>
      <c r="K330" s="7"/>
      <c r="L330" s="8"/>
      <c r="M330" s="8"/>
      <c r="N330" s="7"/>
      <c r="O330" s="7"/>
      <c r="P330" s="7" t="s">
        <v>87</v>
      </c>
      <c r="Q330" s="9">
        <v>46105</v>
      </c>
      <c r="R330" s="7" t="s">
        <v>290</v>
      </c>
      <c r="S330" s="10" t="s">
        <v>1559</v>
      </c>
    </row>
    <row r="331" spans="1:19" ht="27" x14ac:dyDescent="0.25">
      <c r="A331" s="17" t="s">
        <v>1560</v>
      </c>
      <c r="B331" s="7" t="s">
        <v>1561</v>
      </c>
      <c r="C331" s="7" t="s">
        <v>846</v>
      </c>
      <c r="D331" s="7"/>
      <c r="E331" s="7"/>
      <c r="F331" s="7" t="s">
        <v>289</v>
      </c>
      <c r="G331" s="7" t="s">
        <v>289</v>
      </c>
      <c r="H331" s="8"/>
      <c r="I331" s="7"/>
      <c r="J331" s="7"/>
      <c r="K331" s="7"/>
      <c r="L331" s="8"/>
      <c r="M331" s="8"/>
      <c r="N331" s="7"/>
      <c r="O331" s="7"/>
      <c r="P331" s="7" t="s">
        <v>87</v>
      </c>
      <c r="Q331" s="9">
        <v>46221</v>
      </c>
      <c r="R331" s="7" t="s">
        <v>290</v>
      </c>
      <c r="S331" s="10" t="s">
        <v>1562</v>
      </c>
    </row>
    <row r="332" spans="1:19" ht="54" x14ac:dyDescent="0.25">
      <c r="A332" s="17" t="s">
        <v>1563</v>
      </c>
      <c r="B332" s="7" t="s">
        <v>1564</v>
      </c>
      <c r="C332" s="7" t="s">
        <v>846</v>
      </c>
      <c r="D332" s="7" t="s">
        <v>1565</v>
      </c>
      <c r="E332" s="7" t="s">
        <v>439</v>
      </c>
      <c r="F332" s="7" t="s">
        <v>289</v>
      </c>
      <c r="G332" s="7" t="s">
        <v>289</v>
      </c>
      <c r="H332" s="8">
        <v>1</v>
      </c>
      <c r="I332" s="7"/>
      <c r="J332" s="7"/>
      <c r="K332" s="7"/>
      <c r="L332" s="8"/>
      <c r="M332" s="8"/>
      <c r="N332" s="7"/>
      <c r="O332" s="7"/>
      <c r="P332" s="7" t="s">
        <v>87</v>
      </c>
      <c r="Q332" s="9">
        <v>46105</v>
      </c>
      <c r="R332" s="7" t="s">
        <v>290</v>
      </c>
      <c r="S332" s="10" t="s">
        <v>1566</v>
      </c>
    </row>
    <row r="333" spans="1:19" ht="54" x14ac:dyDescent="0.25">
      <c r="A333" s="17" t="s">
        <v>1567</v>
      </c>
      <c r="B333" s="7" t="s">
        <v>1568</v>
      </c>
      <c r="C333" s="7" t="s">
        <v>846</v>
      </c>
      <c r="D333" s="7" t="s">
        <v>1569</v>
      </c>
      <c r="E333" s="7" t="s">
        <v>439</v>
      </c>
      <c r="F333" s="7" t="s">
        <v>289</v>
      </c>
      <c r="G333" s="7" t="s">
        <v>289</v>
      </c>
      <c r="H333" s="8">
        <v>1</v>
      </c>
      <c r="I333" s="7"/>
      <c r="J333" s="7"/>
      <c r="K333" s="7"/>
      <c r="L333" s="8"/>
      <c r="M333" s="8"/>
      <c r="N333" s="7"/>
      <c r="O333" s="7"/>
      <c r="P333" s="7" t="s">
        <v>87</v>
      </c>
      <c r="Q333" s="9">
        <v>46105</v>
      </c>
      <c r="R333" s="7" t="s">
        <v>290</v>
      </c>
      <c r="S333" s="10" t="s">
        <v>1570</v>
      </c>
    </row>
    <row r="334" spans="1:19" ht="54" x14ac:dyDescent="0.25">
      <c r="A334" s="17" t="s">
        <v>1571</v>
      </c>
      <c r="B334" s="7" t="s">
        <v>1572</v>
      </c>
      <c r="C334" s="7" t="s">
        <v>846</v>
      </c>
      <c r="D334" s="7" t="s">
        <v>1573</v>
      </c>
      <c r="E334" s="7" t="s">
        <v>439</v>
      </c>
      <c r="F334" s="7" t="s">
        <v>289</v>
      </c>
      <c r="G334" s="7" t="s">
        <v>289</v>
      </c>
      <c r="H334" s="8">
        <v>1</v>
      </c>
      <c r="I334" s="7"/>
      <c r="J334" s="7"/>
      <c r="K334" s="7"/>
      <c r="L334" s="8"/>
      <c r="M334" s="8"/>
      <c r="N334" s="7"/>
      <c r="O334" s="7"/>
      <c r="P334" s="7" t="s">
        <v>87</v>
      </c>
      <c r="Q334" s="9">
        <v>46105</v>
      </c>
      <c r="R334" s="7" t="s">
        <v>290</v>
      </c>
      <c r="S334" s="10" t="s">
        <v>1574</v>
      </c>
    </row>
    <row r="335" spans="1:19" ht="54" x14ac:dyDescent="0.25">
      <c r="A335" s="17" t="s">
        <v>1575</v>
      </c>
      <c r="B335" s="7" t="s">
        <v>1576</v>
      </c>
      <c r="C335" s="7" t="s">
        <v>846</v>
      </c>
      <c r="D335" s="7" t="s">
        <v>1577</v>
      </c>
      <c r="E335" s="7" t="s">
        <v>439</v>
      </c>
      <c r="F335" s="7" t="s">
        <v>289</v>
      </c>
      <c r="G335" s="7" t="s">
        <v>289</v>
      </c>
      <c r="H335" s="8">
        <v>1</v>
      </c>
      <c r="I335" s="7"/>
      <c r="J335" s="7"/>
      <c r="K335" s="7"/>
      <c r="L335" s="8"/>
      <c r="M335" s="8"/>
      <c r="N335" s="7"/>
      <c r="O335" s="7"/>
      <c r="P335" s="7" t="s">
        <v>87</v>
      </c>
      <c r="Q335" s="9">
        <v>46105</v>
      </c>
      <c r="R335" s="7" t="s">
        <v>290</v>
      </c>
      <c r="S335" s="10" t="s">
        <v>1578</v>
      </c>
    </row>
    <row r="336" spans="1:19" ht="54" x14ac:dyDescent="0.25">
      <c r="A336" s="17" t="s">
        <v>1579</v>
      </c>
      <c r="B336" s="7" t="s">
        <v>1580</v>
      </c>
      <c r="C336" s="7" t="s">
        <v>846</v>
      </c>
      <c r="D336" s="7" t="s">
        <v>1581</v>
      </c>
      <c r="E336" s="7" t="s">
        <v>439</v>
      </c>
      <c r="F336" s="7" t="s">
        <v>289</v>
      </c>
      <c r="G336" s="7" t="s">
        <v>289</v>
      </c>
      <c r="H336" s="8">
        <v>1</v>
      </c>
      <c r="I336" s="7"/>
      <c r="J336" s="7"/>
      <c r="K336" s="7"/>
      <c r="L336" s="8"/>
      <c r="M336" s="8"/>
      <c r="N336" s="7"/>
      <c r="O336" s="7"/>
      <c r="P336" s="7" t="s">
        <v>87</v>
      </c>
      <c r="Q336" s="9">
        <v>46105</v>
      </c>
      <c r="R336" s="7" t="s">
        <v>290</v>
      </c>
      <c r="S336" s="10" t="s">
        <v>1582</v>
      </c>
    </row>
    <row r="337" spans="1:19" ht="54" x14ac:dyDescent="0.25">
      <c r="A337" s="17" t="s">
        <v>1583</v>
      </c>
      <c r="B337" s="7" t="s">
        <v>1584</v>
      </c>
      <c r="C337" s="7" t="s">
        <v>846</v>
      </c>
      <c r="D337" s="7" t="s">
        <v>1585</v>
      </c>
      <c r="E337" s="7" t="s">
        <v>439</v>
      </c>
      <c r="F337" s="7" t="s">
        <v>289</v>
      </c>
      <c r="G337" s="7" t="s">
        <v>289</v>
      </c>
      <c r="H337" s="8">
        <v>1</v>
      </c>
      <c r="I337" s="7"/>
      <c r="J337" s="7"/>
      <c r="K337" s="7"/>
      <c r="L337" s="8"/>
      <c r="M337" s="8"/>
      <c r="N337" s="7"/>
      <c r="O337" s="7"/>
      <c r="P337" s="7" t="s">
        <v>87</v>
      </c>
      <c r="Q337" s="9">
        <v>46105</v>
      </c>
      <c r="R337" s="7" t="s">
        <v>290</v>
      </c>
      <c r="S337" s="10" t="s">
        <v>1586</v>
      </c>
    </row>
    <row r="338" spans="1:19" ht="54" x14ac:dyDescent="0.25">
      <c r="A338" s="17" t="s">
        <v>1587</v>
      </c>
      <c r="B338" s="7" t="s">
        <v>1588</v>
      </c>
      <c r="C338" s="7" t="s">
        <v>846</v>
      </c>
      <c r="D338" s="7" t="s">
        <v>1589</v>
      </c>
      <c r="E338" s="7" t="s">
        <v>439</v>
      </c>
      <c r="F338" s="7" t="s">
        <v>289</v>
      </c>
      <c r="G338" s="7" t="s">
        <v>289</v>
      </c>
      <c r="H338" s="8">
        <v>1</v>
      </c>
      <c r="I338" s="7"/>
      <c r="J338" s="7"/>
      <c r="K338" s="7"/>
      <c r="L338" s="8"/>
      <c r="M338" s="8"/>
      <c r="N338" s="7"/>
      <c r="O338" s="7"/>
      <c r="P338" s="7" t="s">
        <v>87</v>
      </c>
      <c r="Q338" s="9">
        <v>46105</v>
      </c>
      <c r="R338" s="7" t="s">
        <v>290</v>
      </c>
      <c r="S338" s="10" t="s">
        <v>1590</v>
      </c>
    </row>
    <row r="339" spans="1:19" ht="54" x14ac:dyDescent="0.25">
      <c r="A339" s="17" t="s">
        <v>1591</v>
      </c>
      <c r="B339" s="7" t="s">
        <v>1592</v>
      </c>
      <c r="C339" s="7" t="s">
        <v>846</v>
      </c>
      <c r="D339" s="7" t="s">
        <v>1593</v>
      </c>
      <c r="E339" s="7" t="s">
        <v>439</v>
      </c>
      <c r="F339" s="7" t="s">
        <v>289</v>
      </c>
      <c r="G339" s="7" t="s">
        <v>289</v>
      </c>
      <c r="H339" s="8">
        <v>1</v>
      </c>
      <c r="I339" s="7"/>
      <c r="J339" s="7"/>
      <c r="K339" s="7"/>
      <c r="L339" s="8"/>
      <c r="M339" s="8"/>
      <c r="N339" s="7"/>
      <c r="O339" s="7"/>
      <c r="P339" s="7" t="s">
        <v>87</v>
      </c>
      <c r="Q339" s="9">
        <v>46105</v>
      </c>
      <c r="R339" s="7" t="s">
        <v>290</v>
      </c>
      <c r="S339" s="10" t="s">
        <v>1594</v>
      </c>
    </row>
    <row r="340" spans="1:19" ht="54" x14ac:dyDescent="0.25">
      <c r="A340" s="17" t="s">
        <v>1595</v>
      </c>
      <c r="B340" s="7" t="s">
        <v>1596</v>
      </c>
      <c r="C340" s="7" t="s">
        <v>846</v>
      </c>
      <c r="D340" s="7" t="s">
        <v>1597</v>
      </c>
      <c r="E340" s="7" t="s">
        <v>439</v>
      </c>
      <c r="F340" s="7" t="s">
        <v>289</v>
      </c>
      <c r="G340" s="7" t="s">
        <v>289</v>
      </c>
      <c r="H340" s="8">
        <v>1</v>
      </c>
      <c r="I340" s="7"/>
      <c r="J340" s="7"/>
      <c r="K340" s="7"/>
      <c r="L340" s="8"/>
      <c r="M340" s="8"/>
      <c r="N340" s="7"/>
      <c r="O340" s="7"/>
      <c r="P340" s="7" t="s">
        <v>87</v>
      </c>
      <c r="Q340" s="9">
        <v>46105</v>
      </c>
      <c r="R340" s="7" t="s">
        <v>290</v>
      </c>
      <c r="S340" s="10" t="s">
        <v>1598</v>
      </c>
    </row>
    <row r="341" spans="1:19" ht="54" x14ac:dyDescent="0.25">
      <c r="A341" s="17" t="s">
        <v>1599</v>
      </c>
      <c r="B341" s="7" t="s">
        <v>1600</v>
      </c>
      <c r="C341" s="7" t="s">
        <v>846</v>
      </c>
      <c r="D341" s="7" t="s">
        <v>1601</v>
      </c>
      <c r="E341" s="7" t="s">
        <v>439</v>
      </c>
      <c r="F341" s="7" t="s">
        <v>289</v>
      </c>
      <c r="G341" s="7" t="s">
        <v>289</v>
      </c>
      <c r="H341" s="8">
        <v>1</v>
      </c>
      <c r="I341" s="7"/>
      <c r="J341" s="7"/>
      <c r="K341" s="7"/>
      <c r="L341" s="8"/>
      <c r="M341" s="8"/>
      <c r="N341" s="7"/>
      <c r="O341" s="7"/>
      <c r="P341" s="7" t="s">
        <v>87</v>
      </c>
      <c r="Q341" s="9">
        <v>46121</v>
      </c>
      <c r="R341" s="7" t="s">
        <v>290</v>
      </c>
      <c r="S341" s="10" t="s">
        <v>1602</v>
      </c>
    </row>
    <row r="342" spans="1:19" ht="54" x14ac:dyDescent="0.25">
      <c r="A342" s="17" t="s">
        <v>1603</v>
      </c>
      <c r="B342" s="7" t="s">
        <v>1604</v>
      </c>
      <c r="C342" s="7" t="s">
        <v>846</v>
      </c>
      <c r="D342" s="7" t="s">
        <v>1605</v>
      </c>
      <c r="E342" s="7" t="s">
        <v>439</v>
      </c>
      <c r="F342" s="7" t="s">
        <v>289</v>
      </c>
      <c r="G342" s="7" t="s">
        <v>289</v>
      </c>
      <c r="H342" s="8">
        <v>1</v>
      </c>
      <c r="I342" s="7"/>
      <c r="J342" s="7"/>
      <c r="K342" s="7"/>
      <c r="L342" s="8"/>
      <c r="M342" s="8"/>
      <c r="N342" s="7"/>
      <c r="O342" s="7"/>
      <c r="P342" s="7" t="s">
        <v>87</v>
      </c>
      <c r="Q342" s="9">
        <v>46121</v>
      </c>
      <c r="R342" s="7" t="s">
        <v>290</v>
      </c>
      <c r="S342" s="10" t="s">
        <v>1606</v>
      </c>
    </row>
    <row r="343" spans="1:19" ht="54" x14ac:dyDescent="0.25">
      <c r="A343" s="17" t="s">
        <v>1607</v>
      </c>
      <c r="B343" s="7" t="s">
        <v>1608</v>
      </c>
      <c r="C343" s="7" t="s">
        <v>846</v>
      </c>
      <c r="D343" s="7" t="s">
        <v>1609</v>
      </c>
      <c r="E343" s="7" t="s">
        <v>439</v>
      </c>
      <c r="F343" s="7" t="s">
        <v>289</v>
      </c>
      <c r="G343" s="7" t="s">
        <v>289</v>
      </c>
      <c r="H343" s="8">
        <v>1</v>
      </c>
      <c r="I343" s="7"/>
      <c r="J343" s="7"/>
      <c r="K343" s="7"/>
      <c r="L343" s="8"/>
      <c r="M343" s="8"/>
      <c r="N343" s="7"/>
      <c r="O343" s="7"/>
      <c r="P343" s="7" t="s">
        <v>87</v>
      </c>
      <c r="Q343" s="9">
        <v>46105</v>
      </c>
      <c r="R343" s="7" t="s">
        <v>290</v>
      </c>
      <c r="S343" s="10" t="s">
        <v>1610</v>
      </c>
    </row>
    <row r="344" spans="1:19" ht="27" x14ac:dyDescent="0.25">
      <c r="A344" s="17" t="s">
        <v>1611</v>
      </c>
      <c r="B344" s="7" t="s">
        <v>1612</v>
      </c>
      <c r="C344" s="7" t="s">
        <v>816</v>
      </c>
      <c r="D344" s="7"/>
      <c r="E344" s="7"/>
      <c r="F344" s="7" t="s">
        <v>289</v>
      </c>
      <c r="G344" s="7" t="s">
        <v>289</v>
      </c>
      <c r="H344" s="8"/>
      <c r="I344" s="7"/>
      <c r="J344" s="7"/>
      <c r="K344" s="7"/>
      <c r="L344" s="8"/>
      <c r="M344" s="8"/>
      <c r="N344" s="7"/>
      <c r="O344" s="7"/>
      <c r="P344" s="7" t="s">
        <v>87</v>
      </c>
      <c r="Q344" s="9">
        <v>46197</v>
      </c>
      <c r="R344" s="7" t="s">
        <v>290</v>
      </c>
      <c r="S344" s="10" t="s">
        <v>1613</v>
      </c>
    </row>
    <row r="345" spans="1:19" ht="67.5" x14ac:dyDescent="0.25">
      <c r="A345" s="58" t="s">
        <v>1614</v>
      </c>
      <c r="B345" s="7" t="s">
        <v>1615</v>
      </c>
      <c r="C345" s="7" t="s">
        <v>348</v>
      </c>
      <c r="D345" s="7" t="s">
        <v>1616</v>
      </c>
      <c r="E345" s="7" t="s">
        <v>1002</v>
      </c>
      <c r="F345" s="7" t="s">
        <v>289</v>
      </c>
      <c r="G345" s="7" t="s">
        <v>289</v>
      </c>
      <c r="H345" s="8">
        <v>24</v>
      </c>
      <c r="I345" s="7"/>
      <c r="J345" s="7"/>
      <c r="K345" s="7"/>
      <c r="L345" s="8"/>
      <c r="M345" s="8"/>
      <c r="N345" s="7"/>
      <c r="O345" s="7"/>
      <c r="P345" s="7" t="s">
        <v>87</v>
      </c>
      <c r="Q345" s="9">
        <v>46078</v>
      </c>
      <c r="R345" s="7" t="s">
        <v>290</v>
      </c>
      <c r="S345" s="10" t="s">
        <v>1617</v>
      </c>
    </row>
    <row r="346" spans="1:19" ht="67.5" x14ac:dyDescent="0.25">
      <c r="A346" s="17" t="s">
        <v>1618</v>
      </c>
      <c r="B346" s="7" t="s">
        <v>1619</v>
      </c>
      <c r="C346" s="7" t="s">
        <v>348</v>
      </c>
      <c r="D346" s="7" t="s">
        <v>1620</v>
      </c>
      <c r="E346" s="7" t="s">
        <v>1002</v>
      </c>
      <c r="F346" s="7" t="s">
        <v>289</v>
      </c>
      <c r="G346" s="7" t="s">
        <v>289</v>
      </c>
      <c r="H346" s="8">
        <v>24</v>
      </c>
      <c r="I346" s="7"/>
      <c r="J346" s="7"/>
      <c r="K346" s="7"/>
      <c r="L346" s="8"/>
      <c r="M346" s="8"/>
      <c r="N346" s="7"/>
      <c r="O346" s="7"/>
      <c r="P346" s="7" t="s">
        <v>87</v>
      </c>
      <c r="Q346" s="9">
        <v>46079</v>
      </c>
      <c r="R346" s="7" t="s">
        <v>290</v>
      </c>
      <c r="S346" s="10" t="s">
        <v>1621</v>
      </c>
    </row>
    <row r="347" spans="1:19" ht="67.5" x14ac:dyDescent="0.25">
      <c r="A347" s="17" t="s">
        <v>1622</v>
      </c>
      <c r="B347" s="7" t="s">
        <v>1623</v>
      </c>
      <c r="C347" s="7" t="s">
        <v>348</v>
      </c>
      <c r="D347" s="7" t="s">
        <v>1624</v>
      </c>
      <c r="E347" s="7" t="s">
        <v>355</v>
      </c>
      <c r="F347" s="7" t="s">
        <v>289</v>
      </c>
      <c r="G347" s="7" t="s">
        <v>289</v>
      </c>
      <c r="H347" s="8">
        <v>12</v>
      </c>
      <c r="I347" s="7"/>
      <c r="J347" s="7"/>
      <c r="K347" s="7"/>
      <c r="L347" s="8"/>
      <c r="M347" s="8"/>
      <c r="N347" s="7"/>
      <c r="O347" s="7"/>
      <c r="P347" s="7" t="s">
        <v>87</v>
      </c>
      <c r="Q347" s="9">
        <v>46126</v>
      </c>
      <c r="R347" s="7" t="s">
        <v>290</v>
      </c>
      <c r="S347" s="10" t="s">
        <v>1625</v>
      </c>
    </row>
    <row r="348" spans="1:19" ht="81" x14ac:dyDescent="0.25">
      <c r="A348" s="17" t="s">
        <v>1626</v>
      </c>
      <c r="B348" s="7" t="s">
        <v>1627</v>
      </c>
      <c r="C348" s="7" t="s">
        <v>1404</v>
      </c>
      <c r="D348" s="7" t="s">
        <v>1628</v>
      </c>
      <c r="E348" s="7" t="s">
        <v>1629</v>
      </c>
      <c r="F348" s="7" t="s">
        <v>289</v>
      </c>
      <c r="G348" s="7" t="s">
        <v>289</v>
      </c>
      <c r="H348" s="8">
        <v>1</v>
      </c>
      <c r="I348" s="7"/>
      <c r="J348" s="7"/>
      <c r="K348" s="7"/>
      <c r="L348" s="8"/>
      <c r="M348" s="8"/>
      <c r="N348" s="7"/>
      <c r="O348" s="7"/>
      <c r="P348" s="7" t="s">
        <v>87</v>
      </c>
      <c r="Q348" s="9">
        <v>46094</v>
      </c>
      <c r="R348" s="7" t="s">
        <v>290</v>
      </c>
      <c r="S348" s="10" t="s">
        <v>1630</v>
      </c>
    </row>
    <row r="349" spans="1:19" ht="40.5" x14ac:dyDescent="0.25">
      <c r="A349" s="17" t="s">
        <v>1631</v>
      </c>
      <c r="B349" s="7" t="s">
        <v>1632</v>
      </c>
      <c r="C349" s="7" t="s">
        <v>378</v>
      </c>
      <c r="D349" s="7"/>
      <c r="E349" s="7"/>
      <c r="F349" s="7" t="s">
        <v>289</v>
      </c>
      <c r="G349" s="7" t="s">
        <v>289</v>
      </c>
      <c r="H349" s="8"/>
      <c r="I349" s="7"/>
      <c r="J349" s="7"/>
      <c r="K349" s="7"/>
      <c r="L349" s="8"/>
      <c r="M349" s="8"/>
      <c r="N349" s="7"/>
      <c r="O349" s="7"/>
      <c r="P349" s="7" t="s">
        <v>87</v>
      </c>
      <c r="Q349" s="9">
        <v>46192</v>
      </c>
      <c r="R349" s="7" t="s">
        <v>290</v>
      </c>
      <c r="S349" s="10" t="s">
        <v>1633</v>
      </c>
    </row>
    <row r="350" spans="1:19" ht="81" x14ac:dyDescent="0.25">
      <c r="A350" s="17" t="s">
        <v>1634</v>
      </c>
      <c r="B350" s="7" t="s">
        <v>1635</v>
      </c>
      <c r="C350" s="7" t="s">
        <v>481</v>
      </c>
      <c r="D350" s="7" t="s">
        <v>1636</v>
      </c>
      <c r="E350" s="7" t="s">
        <v>496</v>
      </c>
      <c r="F350" s="7" t="s">
        <v>308</v>
      </c>
      <c r="G350" s="7" t="s">
        <v>308</v>
      </c>
      <c r="H350" s="8">
        <v>750</v>
      </c>
      <c r="I350" s="7"/>
      <c r="J350" s="7"/>
      <c r="K350" s="7"/>
      <c r="L350" s="8"/>
      <c r="M350" s="8"/>
      <c r="N350" s="7"/>
      <c r="O350" s="7"/>
      <c r="P350" s="7" t="s">
        <v>87</v>
      </c>
      <c r="Q350" s="9">
        <v>46097</v>
      </c>
      <c r="R350" s="7" t="s">
        <v>290</v>
      </c>
      <c r="S350" s="10" t="s">
        <v>1637</v>
      </c>
    </row>
    <row r="351" spans="1:19" ht="81" x14ac:dyDescent="0.25">
      <c r="A351" s="17" t="s">
        <v>1638</v>
      </c>
      <c r="B351" s="7" t="s">
        <v>1639</v>
      </c>
      <c r="C351" s="7" t="s">
        <v>342</v>
      </c>
      <c r="D351" s="7" t="s">
        <v>1640</v>
      </c>
      <c r="E351" s="7" t="s">
        <v>1641</v>
      </c>
      <c r="F351" s="7" t="s">
        <v>308</v>
      </c>
      <c r="G351" s="7" t="s">
        <v>308</v>
      </c>
      <c r="H351" s="8">
        <v>1500</v>
      </c>
      <c r="I351" s="7"/>
      <c r="J351" s="7"/>
      <c r="K351" s="7"/>
      <c r="L351" s="8"/>
      <c r="M351" s="8"/>
      <c r="N351" s="7"/>
      <c r="O351" s="7"/>
      <c r="P351" s="7" t="s">
        <v>87</v>
      </c>
      <c r="Q351" s="9">
        <v>46078</v>
      </c>
      <c r="R351" s="7" t="s">
        <v>290</v>
      </c>
      <c r="S351" s="10" t="s">
        <v>1642</v>
      </c>
    </row>
    <row r="352" spans="1:19" ht="67.5" x14ac:dyDescent="0.25">
      <c r="A352" s="17" t="s">
        <v>1643</v>
      </c>
      <c r="B352" s="7" t="s">
        <v>1644</v>
      </c>
      <c r="C352" s="7" t="s">
        <v>348</v>
      </c>
      <c r="D352" s="7" t="s">
        <v>1645</v>
      </c>
      <c r="E352" s="7" t="s">
        <v>1002</v>
      </c>
      <c r="F352" s="7" t="s">
        <v>289</v>
      </c>
      <c r="G352" s="7" t="s">
        <v>289</v>
      </c>
      <c r="H352" s="8">
        <v>24</v>
      </c>
      <c r="I352" s="7"/>
      <c r="J352" s="7"/>
      <c r="K352" s="7"/>
      <c r="L352" s="8"/>
      <c r="M352" s="8"/>
      <c r="N352" s="7"/>
      <c r="O352" s="7"/>
      <c r="P352" s="7" t="s">
        <v>87</v>
      </c>
      <c r="Q352" s="9">
        <v>46078</v>
      </c>
      <c r="R352" s="7" t="s">
        <v>290</v>
      </c>
      <c r="S352" s="10" t="s">
        <v>1646</v>
      </c>
    </row>
    <row r="353" spans="1:19" ht="81" x14ac:dyDescent="0.25">
      <c r="A353" s="17" t="s">
        <v>1647</v>
      </c>
      <c r="B353" s="7" t="s">
        <v>1648</v>
      </c>
      <c r="C353" s="7" t="s">
        <v>539</v>
      </c>
      <c r="D353" s="7" t="s">
        <v>1649</v>
      </c>
      <c r="E353" s="7" t="s">
        <v>688</v>
      </c>
      <c r="F353" s="7" t="s">
        <v>25</v>
      </c>
      <c r="G353" s="7" t="s">
        <v>25</v>
      </c>
      <c r="H353" s="8">
        <v>1000</v>
      </c>
      <c r="I353" s="7"/>
      <c r="J353" s="7"/>
      <c r="K353" s="7"/>
      <c r="L353" s="8"/>
      <c r="M353" s="8"/>
      <c r="N353" s="7"/>
      <c r="O353" s="7"/>
      <c r="P353" s="7" t="s">
        <v>87</v>
      </c>
      <c r="Q353" s="9">
        <v>46203</v>
      </c>
      <c r="R353" s="7" t="s">
        <v>290</v>
      </c>
      <c r="S353" s="10" t="s">
        <v>1650</v>
      </c>
    </row>
    <row r="354" spans="1:19" ht="81" x14ac:dyDescent="0.25">
      <c r="A354" s="17" t="s">
        <v>1651</v>
      </c>
      <c r="B354" s="7" t="s">
        <v>1652</v>
      </c>
      <c r="C354" s="7" t="s">
        <v>539</v>
      </c>
      <c r="D354" s="7" t="s">
        <v>1653</v>
      </c>
      <c r="E354" s="7" t="s">
        <v>1360</v>
      </c>
      <c r="F354" s="7" t="s">
        <v>25</v>
      </c>
      <c r="G354" s="7" t="s">
        <v>25</v>
      </c>
      <c r="H354" s="8">
        <v>1000</v>
      </c>
      <c r="I354" s="7"/>
      <c r="J354" s="7"/>
      <c r="K354" s="7"/>
      <c r="L354" s="8"/>
      <c r="M354" s="8"/>
      <c r="N354" s="7"/>
      <c r="O354" s="7"/>
      <c r="P354" s="7" t="s">
        <v>87</v>
      </c>
      <c r="Q354" s="9">
        <v>46172</v>
      </c>
      <c r="R354" s="7" t="s">
        <v>290</v>
      </c>
      <c r="S354" s="10" t="s">
        <v>1654</v>
      </c>
    </row>
    <row r="355" spans="1:19" ht="27" x14ac:dyDescent="0.25">
      <c r="A355" s="17" t="s">
        <v>1655</v>
      </c>
      <c r="B355" s="7" t="s">
        <v>1656</v>
      </c>
      <c r="C355" s="7" t="s">
        <v>680</v>
      </c>
      <c r="D355" s="7"/>
      <c r="E355" s="7"/>
      <c r="F355" s="7" t="s">
        <v>289</v>
      </c>
      <c r="G355" s="7" t="s">
        <v>289</v>
      </c>
      <c r="H355" s="8"/>
      <c r="I355" s="7"/>
      <c r="J355" s="7"/>
      <c r="K355" s="7"/>
      <c r="L355" s="8"/>
      <c r="M355" s="8"/>
      <c r="N355" s="7"/>
      <c r="O355" s="7"/>
      <c r="P355" s="7" t="s">
        <v>87</v>
      </c>
      <c r="Q355" s="9">
        <v>46185</v>
      </c>
      <c r="R355" s="7" t="s">
        <v>290</v>
      </c>
      <c r="S355" s="10" t="s">
        <v>1657</v>
      </c>
    </row>
    <row r="356" spans="1:19" ht="81" x14ac:dyDescent="0.25">
      <c r="A356" s="17" t="s">
        <v>1658</v>
      </c>
      <c r="B356" s="7" t="s">
        <v>1659</v>
      </c>
      <c r="C356" s="7" t="s">
        <v>1050</v>
      </c>
      <c r="D356" s="7" t="s">
        <v>1660</v>
      </c>
      <c r="E356" s="7" t="s">
        <v>523</v>
      </c>
      <c r="F356" s="7" t="s">
        <v>25</v>
      </c>
      <c r="G356" s="7" t="s">
        <v>25</v>
      </c>
      <c r="H356" s="8">
        <v>500</v>
      </c>
      <c r="I356" s="7"/>
      <c r="J356" s="7"/>
      <c r="K356" s="7"/>
      <c r="L356" s="8"/>
      <c r="M356" s="8"/>
      <c r="N356" s="7"/>
      <c r="O356" s="7"/>
      <c r="P356" s="7" t="s">
        <v>87</v>
      </c>
      <c r="Q356" s="9">
        <v>46149</v>
      </c>
      <c r="R356" s="7" t="s">
        <v>290</v>
      </c>
      <c r="S356" s="10" t="s">
        <v>1661</v>
      </c>
    </row>
    <row r="357" spans="1:19" ht="40.5" x14ac:dyDescent="0.25">
      <c r="A357" s="17" t="s">
        <v>1662</v>
      </c>
      <c r="B357" s="7" t="s">
        <v>1663</v>
      </c>
      <c r="C357" s="7" t="s">
        <v>596</v>
      </c>
      <c r="D357" s="7"/>
      <c r="E357" s="7"/>
      <c r="F357" s="7" t="s">
        <v>289</v>
      </c>
      <c r="G357" s="7" t="s">
        <v>289</v>
      </c>
      <c r="H357" s="8"/>
      <c r="I357" s="7"/>
      <c r="J357" s="7"/>
      <c r="K357" s="7"/>
      <c r="L357" s="8"/>
      <c r="M357" s="8"/>
      <c r="N357" s="7"/>
      <c r="O357" s="7"/>
      <c r="P357" s="7" t="s">
        <v>87</v>
      </c>
      <c r="Q357" s="9">
        <v>46214</v>
      </c>
      <c r="R357" s="7" t="s">
        <v>290</v>
      </c>
      <c r="S357" s="10" t="s">
        <v>1664</v>
      </c>
    </row>
    <row r="358" spans="1:19" ht="81" x14ac:dyDescent="0.25">
      <c r="A358" s="17" t="s">
        <v>1665</v>
      </c>
      <c r="B358" s="7" t="s">
        <v>1666</v>
      </c>
      <c r="C358" s="7" t="s">
        <v>475</v>
      </c>
      <c r="D358" s="7" t="s">
        <v>1667</v>
      </c>
      <c r="E358" s="7" t="s">
        <v>1668</v>
      </c>
      <c r="F358" s="7" t="s">
        <v>25</v>
      </c>
      <c r="G358" s="7" t="s">
        <v>25</v>
      </c>
      <c r="H358" s="8">
        <v>5000</v>
      </c>
      <c r="I358" s="7"/>
      <c r="J358" s="7"/>
      <c r="K358" s="7"/>
      <c r="L358" s="8"/>
      <c r="M358" s="8"/>
      <c r="N358" s="7"/>
      <c r="O358" s="7"/>
      <c r="P358" s="7" t="s">
        <v>87</v>
      </c>
      <c r="Q358" s="9">
        <v>46126</v>
      </c>
      <c r="R358" s="7" t="s">
        <v>290</v>
      </c>
      <c r="S358" s="10" t="s">
        <v>1669</v>
      </c>
    </row>
    <row r="359" spans="1:19" ht="27" x14ac:dyDescent="0.25">
      <c r="A359" s="17" t="s">
        <v>1670</v>
      </c>
      <c r="B359" s="7" t="s">
        <v>1671</v>
      </c>
      <c r="C359" s="7" t="s">
        <v>348</v>
      </c>
      <c r="D359" s="7"/>
      <c r="E359" s="7"/>
      <c r="F359" s="7" t="s">
        <v>289</v>
      </c>
      <c r="G359" s="7" t="s">
        <v>289</v>
      </c>
      <c r="H359" s="8"/>
      <c r="I359" s="7"/>
      <c r="J359" s="7"/>
      <c r="K359" s="7"/>
      <c r="L359" s="8"/>
      <c r="M359" s="8"/>
      <c r="N359" s="7"/>
      <c r="O359" s="7"/>
      <c r="P359" s="7" t="s">
        <v>87</v>
      </c>
      <c r="Q359" s="9">
        <v>46220</v>
      </c>
      <c r="R359" s="7" t="s">
        <v>290</v>
      </c>
      <c r="S359" s="10" t="s">
        <v>1672</v>
      </c>
    </row>
    <row r="360" spans="1:19" ht="27" x14ac:dyDescent="0.25">
      <c r="A360" s="17" t="s">
        <v>1673</v>
      </c>
      <c r="B360" s="7" t="s">
        <v>1674</v>
      </c>
      <c r="C360" s="7" t="s">
        <v>348</v>
      </c>
      <c r="D360" s="7"/>
      <c r="E360" s="7"/>
      <c r="F360" s="7" t="s">
        <v>289</v>
      </c>
      <c r="G360" s="7" t="s">
        <v>289</v>
      </c>
      <c r="H360" s="8"/>
      <c r="I360" s="7"/>
      <c r="J360" s="7"/>
      <c r="K360" s="7"/>
      <c r="L360" s="8"/>
      <c r="M360" s="8"/>
      <c r="N360" s="7"/>
      <c r="O360" s="7"/>
      <c r="P360" s="7" t="s">
        <v>87</v>
      </c>
      <c r="Q360" s="9">
        <v>46220</v>
      </c>
      <c r="R360" s="7" t="s">
        <v>290</v>
      </c>
      <c r="S360" s="10" t="s">
        <v>1675</v>
      </c>
    </row>
    <row r="361" spans="1:19" ht="27" x14ac:dyDescent="0.25">
      <c r="A361" s="17" t="s">
        <v>1676</v>
      </c>
      <c r="B361" s="7" t="s">
        <v>1677</v>
      </c>
      <c r="C361" s="7" t="s">
        <v>348</v>
      </c>
      <c r="D361" s="7"/>
      <c r="E361" s="7"/>
      <c r="F361" s="7" t="s">
        <v>289</v>
      </c>
      <c r="G361" s="7" t="s">
        <v>289</v>
      </c>
      <c r="H361" s="8"/>
      <c r="I361" s="7"/>
      <c r="J361" s="7"/>
      <c r="K361" s="7"/>
      <c r="L361" s="8"/>
      <c r="M361" s="8"/>
      <c r="N361" s="7"/>
      <c r="O361" s="7"/>
      <c r="P361" s="7" t="s">
        <v>87</v>
      </c>
      <c r="Q361" s="9">
        <v>46220</v>
      </c>
      <c r="R361" s="7" t="s">
        <v>290</v>
      </c>
      <c r="S361" s="10" t="s">
        <v>1678</v>
      </c>
    </row>
    <row r="362" spans="1:19" ht="67.5" x14ac:dyDescent="0.25">
      <c r="A362" s="17" t="s">
        <v>1679</v>
      </c>
      <c r="B362" s="7" t="s">
        <v>1680</v>
      </c>
      <c r="C362" s="7" t="s">
        <v>1138</v>
      </c>
      <c r="D362" s="7" t="s">
        <v>1681</v>
      </c>
      <c r="E362" s="7" t="s">
        <v>300</v>
      </c>
      <c r="F362" s="7" t="s">
        <v>25</v>
      </c>
      <c r="G362" s="7" t="s">
        <v>25</v>
      </c>
      <c r="H362" s="8">
        <v>1</v>
      </c>
      <c r="I362" s="7"/>
      <c r="J362" s="7"/>
      <c r="K362" s="7"/>
      <c r="L362" s="8"/>
      <c r="M362" s="8"/>
      <c r="N362" s="7"/>
      <c r="O362" s="7"/>
      <c r="P362" s="7" t="s">
        <v>87</v>
      </c>
      <c r="Q362" s="9">
        <v>46094</v>
      </c>
      <c r="R362" s="7" t="s">
        <v>290</v>
      </c>
      <c r="S362" s="10" t="s">
        <v>1682</v>
      </c>
    </row>
    <row r="363" spans="1:19" ht="81" x14ac:dyDescent="0.25">
      <c r="A363" s="17" t="s">
        <v>1683</v>
      </c>
      <c r="B363" s="7" t="s">
        <v>1684</v>
      </c>
      <c r="C363" s="7" t="s">
        <v>774</v>
      </c>
      <c r="D363" s="7" t="s">
        <v>1685</v>
      </c>
      <c r="E363" s="7" t="s">
        <v>1686</v>
      </c>
      <c r="F363" s="7" t="s">
        <v>25</v>
      </c>
      <c r="G363" s="7" t="s">
        <v>25</v>
      </c>
      <c r="H363" s="8">
        <v>1000</v>
      </c>
      <c r="I363" s="7"/>
      <c r="J363" s="7"/>
      <c r="K363" s="7"/>
      <c r="L363" s="8"/>
      <c r="M363" s="8"/>
      <c r="N363" s="7"/>
      <c r="O363" s="7"/>
      <c r="P363" s="7" t="s">
        <v>87</v>
      </c>
      <c r="Q363" s="9">
        <v>46072</v>
      </c>
      <c r="R363" s="7" t="s">
        <v>290</v>
      </c>
      <c r="S363" s="10" t="s">
        <v>1687</v>
      </c>
    </row>
    <row r="364" spans="1:19" ht="40.5" x14ac:dyDescent="0.25">
      <c r="A364" s="17" t="s">
        <v>1688</v>
      </c>
      <c r="B364" s="7" t="s">
        <v>1689</v>
      </c>
      <c r="C364" s="7" t="s">
        <v>1236</v>
      </c>
      <c r="D364" s="7"/>
      <c r="E364" s="7"/>
      <c r="F364" s="7" t="s">
        <v>25</v>
      </c>
      <c r="G364" s="7" t="s">
        <v>25</v>
      </c>
      <c r="H364" s="8"/>
      <c r="I364" s="7"/>
      <c r="J364" s="7"/>
      <c r="K364" s="7"/>
      <c r="L364" s="8"/>
      <c r="M364" s="8"/>
      <c r="N364" s="7"/>
      <c r="O364" s="7"/>
      <c r="P364" s="7" t="s">
        <v>87</v>
      </c>
      <c r="Q364" s="9">
        <v>46091</v>
      </c>
      <c r="R364" s="7" t="s">
        <v>290</v>
      </c>
      <c r="S364" s="10" t="s">
        <v>1690</v>
      </c>
    </row>
    <row r="365" spans="1:19" ht="81" x14ac:dyDescent="0.25">
      <c r="A365" s="17" t="s">
        <v>1691</v>
      </c>
      <c r="B365" s="7" t="s">
        <v>1692</v>
      </c>
      <c r="C365" s="7" t="s">
        <v>1154</v>
      </c>
      <c r="D365" s="7" t="s">
        <v>1693</v>
      </c>
      <c r="E365" s="7" t="s">
        <v>1694</v>
      </c>
      <c r="F365" s="7" t="s">
        <v>289</v>
      </c>
      <c r="G365" s="7" t="s">
        <v>289</v>
      </c>
      <c r="H365" s="8">
        <v>1</v>
      </c>
      <c r="I365" s="7"/>
      <c r="J365" s="7"/>
      <c r="K365" s="7"/>
      <c r="L365" s="8"/>
      <c r="M365" s="8"/>
      <c r="N365" s="7"/>
      <c r="O365" s="7"/>
      <c r="P365" s="7" t="s">
        <v>87</v>
      </c>
      <c r="Q365" s="9">
        <v>46147</v>
      </c>
      <c r="R365" s="7" t="s">
        <v>290</v>
      </c>
      <c r="S365" s="10" t="s">
        <v>1695</v>
      </c>
    </row>
    <row r="366" spans="1:19" ht="81" x14ac:dyDescent="0.25">
      <c r="A366" s="17" t="s">
        <v>1696</v>
      </c>
      <c r="B366" s="7" t="s">
        <v>1697</v>
      </c>
      <c r="C366" s="7" t="s">
        <v>1154</v>
      </c>
      <c r="D366" s="7" t="s">
        <v>1698</v>
      </c>
      <c r="E366" s="7" t="s">
        <v>1699</v>
      </c>
      <c r="F366" s="7" t="s">
        <v>289</v>
      </c>
      <c r="G366" s="7" t="s">
        <v>289</v>
      </c>
      <c r="H366" s="8">
        <v>100</v>
      </c>
      <c r="I366" s="7"/>
      <c r="J366" s="7"/>
      <c r="K366" s="7"/>
      <c r="L366" s="8"/>
      <c r="M366" s="8"/>
      <c r="N366" s="7"/>
      <c r="O366" s="7"/>
      <c r="P366" s="7" t="s">
        <v>87</v>
      </c>
      <c r="Q366" s="9">
        <v>46094</v>
      </c>
      <c r="R366" s="7" t="s">
        <v>290</v>
      </c>
      <c r="S366" s="10" t="s">
        <v>1700</v>
      </c>
    </row>
    <row r="367" spans="1:19" ht="81" x14ac:dyDescent="0.25">
      <c r="A367" s="17" t="s">
        <v>1701</v>
      </c>
      <c r="B367" s="7" t="s">
        <v>1702</v>
      </c>
      <c r="C367" s="7" t="s">
        <v>1154</v>
      </c>
      <c r="D367" s="7" t="s">
        <v>1703</v>
      </c>
      <c r="E367" s="7" t="s">
        <v>1699</v>
      </c>
      <c r="F367" s="7" t="s">
        <v>289</v>
      </c>
      <c r="G367" s="7" t="s">
        <v>289</v>
      </c>
      <c r="H367" s="8">
        <v>100</v>
      </c>
      <c r="I367" s="7"/>
      <c r="J367" s="7"/>
      <c r="K367" s="7"/>
      <c r="L367" s="8"/>
      <c r="M367" s="8"/>
      <c r="N367" s="7"/>
      <c r="O367" s="7"/>
      <c r="P367" s="7" t="s">
        <v>87</v>
      </c>
      <c r="Q367" s="9">
        <v>46094</v>
      </c>
      <c r="R367" s="7" t="s">
        <v>290</v>
      </c>
      <c r="S367" s="10" t="s">
        <v>1704</v>
      </c>
    </row>
    <row r="368" spans="1:19" ht="40.5" x14ac:dyDescent="0.25">
      <c r="A368" s="17" t="s">
        <v>1705</v>
      </c>
      <c r="B368" s="7" t="s">
        <v>1706</v>
      </c>
      <c r="C368" s="7" t="s">
        <v>288</v>
      </c>
      <c r="D368" s="7"/>
      <c r="E368" s="7"/>
      <c r="F368" s="7" t="s">
        <v>289</v>
      </c>
      <c r="G368" s="7" t="s">
        <v>289</v>
      </c>
      <c r="H368" s="8"/>
      <c r="I368" s="7"/>
      <c r="J368" s="7"/>
      <c r="K368" s="7"/>
      <c r="L368" s="8"/>
      <c r="M368" s="8"/>
      <c r="N368" s="7"/>
      <c r="O368" s="7"/>
      <c r="P368" s="7" t="s">
        <v>87</v>
      </c>
      <c r="Q368" s="9">
        <v>46143</v>
      </c>
      <c r="R368" s="7" t="s">
        <v>290</v>
      </c>
      <c r="S368" s="10" t="s">
        <v>1707</v>
      </c>
    </row>
    <row r="369" spans="1:19" ht="27" x14ac:dyDescent="0.25">
      <c r="A369" s="17" t="s">
        <v>1708</v>
      </c>
      <c r="B369" s="7" t="s">
        <v>1709</v>
      </c>
      <c r="C369" s="7" t="s">
        <v>294</v>
      </c>
      <c r="D369" s="7"/>
      <c r="E369" s="7"/>
      <c r="F369" s="7" t="s">
        <v>289</v>
      </c>
      <c r="G369" s="7" t="s">
        <v>289</v>
      </c>
      <c r="H369" s="8"/>
      <c r="I369" s="7"/>
      <c r="J369" s="7"/>
      <c r="K369" s="7"/>
      <c r="L369" s="8"/>
      <c r="M369" s="8"/>
      <c r="N369" s="7"/>
      <c r="O369" s="7"/>
      <c r="P369" s="7" t="s">
        <v>87</v>
      </c>
      <c r="Q369" s="9">
        <v>46197</v>
      </c>
      <c r="R369" s="7" t="s">
        <v>290</v>
      </c>
      <c r="S369" s="10" t="s">
        <v>1710</v>
      </c>
    </row>
    <row r="370" spans="1:19" ht="81" x14ac:dyDescent="0.25">
      <c r="A370" s="17" t="s">
        <v>1711</v>
      </c>
      <c r="B370" s="7" t="s">
        <v>1712</v>
      </c>
      <c r="C370" s="7" t="s">
        <v>460</v>
      </c>
      <c r="D370" s="7" t="s">
        <v>1713</v>
      </c>
      <c r="E370" s="7" t="s">
        <v>361</v>
      </c>
      <c r="F370" s="7" t="s">
        <v>25</v>
      </c>
      <c r="G370" s="7" t="s">
        <v>25</v>
      </c>
      <c r="H370" s="8">
        <v>1000</v>
      </c>
      <c r="I370" s="7"/>
      <c r="J370" s="7"/>
      <c r="K370" s="7"/>
      <c r="L370" s="8"/>
      <c r="M370" s="8"/>
      <c r="N370" s="7"/>
      <c r="O370" s="7"/>
      <c r="P370" s="7" t="s">
        <v>87</v>
      </c>
      <c r="Q370" s="9">
        <v>46172</v>
      </c>
      <c r="R370" s="7" t="s">
        <v>290</v>
      </c>
      <c r="S370" s="10" t="s">
        <v>1714</v>
      </c>
    </row>
    <row r="371" spans="1:19" ht="81" x14ac:dyDescent="0.25">
      <c r="A371" s="17" t="s">
        <v>1715</v>
      </c>
      <c r="B371" s="7" t="s">
        <v>1716</v>
      </c>
      <c r="C371" s="7" t="s">
        <v>460</v>
      </c>
      <c r="D371" s="7" t="s">
        <v>1717</v>
      </c>
      <c r="E371" s="7" t="s">
        <v>361</v>
      </c>
      <c r="F371" s="7" t="s">
        <v>25</v>
      </c>
      <c r="G371" s="7" t="s">
        <v>25</v>
      </c>
      <c r="H371" s="8">
        <v>1000</v>
      </c>
      <c r="I371" s="7"/>
      <c r="J371" s="7"/>
      <c r="K371" s="7"/>
      <c r="L371" s="8"/>
      <c r="M371" s="8"/>
      <c r="N371" s="7"/>
      <c r="O371" s="7"/>
      <c r="P371" s="7" t="s">
        <v>87</v>
      </c>
      <c r="Q371" s="9">
        <v>46172</v>
      </c>
      <c r="R371" s="7" t="s">
        <v>290</v>
      </c>
      <c r="S371" s="10" t="s">
        <v>1718</v>
      </c>
    </row>
    <row r="372" spans="1:19" ht="81" x14ac:dyDescent="0.25">
      <c r="A372" s="17" t="s">
        <v>1719</v>
      </c>
      <c r="B372" s="7" t="s">
        <v>1720</v>
      </c>
      <c r="C372" s="7" t="s">
        <v>460</v>
      </c>
      <c r="D372" s="7" t="s">
        <v>1721</v>
      </c>
      <c r="E372" s="7" t="s">
        <v>1722</v>
      </c>
      <c r="F372" s="7" t="s">
        <v>25</v>
      </c>
      <c r="G372" s="7" t="s">
        <v>25</v>
      </c>
      <c r="H372" s="8">
        <v>25000</v>
      </c>
      <c r="I372" s="7"/>
      <c r="J372" s="7"/>
      <c r="K372" s="7"/>
      <c r="L372" s="8"/>
      <c r="M372" s="8"/>
      <c r="N372" s="7"/>
      <c r="O372" s="7"/>
      <c r="P372" s="7" t="s">
        <v>87</v>
      </c>
      <c r="Q372" s="9">
        <v>46106</v>
      </c>
      <c r="R372" s="7" t="s">
        <v>290</v>
      </c>
      <c r="S372" s="10" t="s">
        <v>1723</v>
      </c>
    </row>
    <row r="373" spans="1:19" ht="81" x14ac:dyDescent="0.25">
      <c r="A373" s="17" t="s">
        <v>1724</v>
      </c>
      <c r="B373" s="7" t="s">
        <v>1725</v>
      </c>
      <c r="C373" s="7" t="s">
        <v>460</v>
      </c>
      <c r="D373" s="7" t="s">
        <v>1726</v>
      </c>
      <c r="E373" s="7" t="s">
        <v>1727</v>
      </c>
      <c r="F373" s="7" t="s">
        <v>25</v>
      </c>
      <c r="G373" s="7" t="s">
        <v>25</v>
      </c>
      <c r="H373" s="8">
        <v>50000</v>
      </c>
      <c r="I373" s="7"/>
      <c r="J373" s="7"/>
      <c r="K373" s="7"/>
      <c r="L373" s="8"/>
      <c r="M373" s="8"/>
      <c r="N373" s="7"/>
      <c r="O373" s="7"/>
      <c r="P373" s="7" t="s">
        <v>87</v>
      </c>
      <c r="Q373" s="9">
        <v>46133</v>
      </c>
      <c r="R373" s="7" t="s">
        <v>290</v>
      </c>
      <c r="S373" s="10" t="s">
        <v>1728</v>
      </c>
    </row>
    <row r="374" spans="1:19" ht="81" x14ac:dyDescent="0.25">
      <c r="A374" s="17" t="s">
        <v>1729</v>
      </c>
      <c r="B374" s="7" t="s">
        <v>1730</v>
      </c>
      <c r="C374" s="7" t="s">
        <v>460</v>
      </c>
      <c r="D374" s="7" t="s">
        <v>1731</v>
      </c>
      <c r="E374" s="7" t="s">
        <v>1722</v>
      </c>
      <c r="F374" s="7" t="s">
        <v>25</v>
      </c>
      <c r="G374" s="7" t="s">
        <v>25</v>
      </c>
      <c r="H374" s="8">
        <v>25000</v>
      </c>
      <c r="I374" s="7"/>
      <c r="J374" s="7"/>
      <c r="K374" s="7"/>
      <c r="L374" s="8"/>
      <c r="M374" s="8"/>
      <c r="N374" s="7"/>
      <c r="O374" s="7"/>
      <c r="P374" s="7" t="s">
        <v>87</v>
      </c>
      <c r="Q374" s="9">
        <v>46170</v>
      </c>
      <c r="R374" s="7" t="s">
        <v>290</v>
      </c>
      <c r="S374" s="10" t="s">
        <v>1732</v>
      </c>
    </row>
    <row r="375" spans="1:19" ht="81" x14ac:dyDescent="0.25">
      <c r="A375" s="17" t="s">
        <v>1733</v>
      </c>
      <c r="B375" s="7" t="s">
        <v>1734</v>
      </c>
      <c r="C375" s="7" t="s">
        <v>460</v>
      </c>
      <c r="D375" s="7" t="s">
        <v>1735</v>
      </c>
      <c r="E375" s="7" t="s">
        <v>361</v>
      </c>
      <c r="F375" s="7" t="s">
        <v>25</v>
      </c>
      <c r="G375" s="7" t="s">
        <v>25</v>
      </c>
      <c r="H375" s="8">
        <v>1000</v>
      </c>
      <c r="I375" s="7"/>
      <c r="J375" s="7"/>
      <c r="K375" s="7"/>
      <c r="L375" s="8"/>
      <c r="M375" s="8"/>
      <c r="N375" s="7"/>
      <c r="O375" s="7"/>
      <c r="P375" s="7" t="s">
        <v>87</v>
      </c>
      <c r="Q375" s="9">
        <v>46095</v>
      </c>
      <c r="R375" s="7" t="s">
        <v>290</v>
      </c>
      <c r="S375" s="10" t="s">
        <v>1736</v>
      </c>
    </row>
    <row r="376" spans="1:19" ht="81" x14ac:dyDescent="0.25">
      <c r="A376" s="17" t="s">
        <v>1737</v>
      </c>
      <c r="B376" s="7" t="s">
        <v>1738</v>
      </c>
      <c r="C376" s="7" t="s">
        <v>460</v>
      </c>
      <c r="D376" s="7" t="s">
        <v>1739</v>
      </c>
      <c r="E376" s="7" t="s">
        <v>1740</v>
      </c>
      <c r="F376" s="7" t="s">
        <v>25</v>
      </c>
      <c r="G376" s="7" t="s">
        <v>25</v>
      </c>
      <c r="H376" s="8">
        <v>800</v>
      </c>
      <c r="I376" s="7"/>
      <c r="J376" s="7"/>
      <c r="K376" s="7"/>
      <c r="L376" s="8"/>
      <c r="M376" s="8"/>
      <c r="N376" s="7"/>
      <c r="O376" s="7"/>
      <c r="P376" s="7" t="s">
        <v>87</v>
      </c>
      <c r="Q376" s="9">
        <v>46149</v>
      </c>
      <c r="R376" s="7" t="s">
        <v>290</v>
      </c>
      <c r="S376" s="10" t="s">
        <v>1741</v>
      </c>
    </row>
    <row r="377" spans="1:19" ht="40.5" x14ac:dyDescent="0.25">
      <c r="A377" s="17" t="s">
        <v>1742</v>
      </c>
      <c r="B377" s="7" t="s">
        <v>1743</v>
      </c>
      <c r="C377" s="7" t="s">
        <v>1744</v>
      </c>
      <c r="D377" s="7"/>
      <c r="E377" s="7"/>
      <c r="F377" s="7" t="s">
        <v>25</v>
      </c>
      <c r="G377" s="7" t="s">
        <v>25</v>
      </c>
      <c r="H377" s="8"/>
      <c r="I377" s="7"/>
      <c r="J377" s="7"/>
      <c r="K377" s="7"/>
      <c r="L377" s="8"/>
      <c r="M377" s="8"/>
      <c r="N377" s="7"/>
      <c r="O377" s="7"/>
      <c r="P377" s="7" t="s">
        <v>87</v>
      </c>
      <c r="Q377" s="9">
        <v>46189</v>
      </c>
      <c r="R377" s="7" t="s">
        <v>290</v>
      </c>
      <c r="S377" s="10" t="s">
        <v>1745</v>
      </c>
    </row>
    <row r="378" spans="1:19" ht="40.5" x14ac:dyDescent="0.25">
      <c r="A378" s="17" t="s">
        <v>1746</v>
      </c>
      <c r="B378" s="7" t="s">
        <v>1747</v>
      </c>
      <c r="C378" s="7" t="s">
        <v>1744</v>
      </c>
      <c r="D378" s="7"/>
      <c r="E378" s="7"/>
      <c r="F378" s="7" t="s">
        <v>25</v>
      </c>
      <c r="G378" s="7" t="s">
        <v>25</v>
      </c>
      <c r="H378" s="8"/>
      <c r="I378" s="7"/>
      <c r="J378" s="7"/>
      <c r="K378" s="7"/>
      <c r="L378" s="8"/>
      <c r="M378" s="8"/>
      <c r="N378" s="7"/>
      <c r="O378" s="7"/>
      <c r="P378" s="7" t="s">
        <v>87</v>
      </c>
      <c r="Q378" s="9">
        <v>46185</v>
      </c>
      <c r="R378" s="7" t="s">
        <v>290</v>
      </c>
      <c r="S378" s="10" t="s">
        <v>1748</v>
      </c>
    </row>
    <row r="379" spans="1:19" ht="81" x14ac:dyDescent="0.25">
      <c r="A379" s="17" t="s">
        <v>1749</v>
      </c>
      <c r="B379" s="7" t="s">
        <v>1750</v>
      </c>
      <c r="C379" s="7" t="s">
        <v>420</v>
      </c>
      <c r="D379" s="7" t="s">
        <v>1751</v>
      </c>
      <c r="E379" s="7" t="s">
        <v>523</v>
      </c>
      <c r="F379" s="7" t="s">
        <v>25</v>
      </c>
      <c r="G379" s="7" t="s">
        <v>25</v>
      </c>
      <c r="H379" s="8">
        <v>500</v>
      </c>
      <c r="I379" s="7"/>
      <c r="J379" s="7"/>
      <c r="K379" s="7"/>
      <c r="L379" s="8"/>
      <c r="M379" s="8"/>
      <c r="N379" s="7"/>
      <c r="O379" s="7"/>
      <c r="P379" s="7" t="s">
        <v>87</v>
      </c>
      <c r="Q379" s="9">
        <v>46091</v>
      </c>
      <c r="R379" s="7" t="s">
        <v>290</v>
      </c>
      <c r="S379" s="10" t="s">
        <v>1752</v>
      </c>
    </row>
    <row r="380" spans="1:19" ht="81" x14ac:dyDescent="0.25">
      <c r="A380" s="17" t="s">
        <v>1753</v>
      </c>
      <c r="B380" s="7" t="s">
        <v>1754</v>
      </c>
      <c r="C380" s="7" t="s">
        <v>500</v>
      </c>
      <c r="D380" s="7" t="s">
        <v>1755</v>
      </c>
      <c r="E380" s="7" t="s">
        <v>361</v>
      </c>
      <c r="F380" s="7" t="s">
        <v>25</v>
      </c>
      <c r="G380" s="7" t="s">
        <v>25</v>
      </c>
      <c r="H380" s="8">
        <v>1000</v>
      </c>
      <c r="I380" s="7"/>
      <c r="J380" s="7"/>
      <c r="K380" s="7"/>
      <c r="L380" s="8"/>
      <c r="M380" s="8"/>
      <c r="N380" s="7"/>
      <c r="O380" s="7"/>
      <c r="P380" s="7" t="s">
        <v>87</v>
      </c>
      <c r="Q380" s="9">
        <v>46076</v>
      </c>
      <c r="R380" s="7" t="s">
        <v>290</v>
      </c>
      <c r="S380" s="10" t="s">
        <v>1756</v>
      </c>
    </row>
    <row r="381" spans="1:19" ht="54" x14ac:dyDescent="0.25">
      <c r="A381" s="17" t="s">
        <v>1757</v>
      </c>
      <c r="B381" s="7" t="s">
        <v>1758</v>
      </c>
      <c r="C381" s="7" t="s">
        <v>294</v>
      </c>
      <c r="D381" s="7" t="s">
        <v>1759</v>
      </c>
      <c r="E381" s="7" t="s">
        <v>439</v>
      </c>
      <c r="F381" s="7" t="s">
        <v>289</v>
      </c>
      <c r="G381" s="7" t="s">
        <v>289</v>
      </c>
      <c r="H381" s="8">
        <v>1</v>
      </c>
      <c r="I381" s="7"/>
      <c r="J381" s="7"/>
      <c r="K381" s="7"/>
      <c r="L381" s="8"/>
      <c r="M381" s="8"/>
      <c r="N381" s="7"/>
      <c r="O381" s="7"/>
      <c r="P381" s="7" t="s">
        <v>87</v>
      </c>
      <c r="Q381" s="9">
        <v>46121</v>
      </c>
      <c r="R381" s="7" t="s">
        <v>290</v>
      </c>
      <c r="S381" s="10" t="s">
        <v>1760</v>
      </c>
    </row>
    <row r="382" spans="1:19" ht="54" x14ac:dyDescent="0.25">
      <c r="A382" s="17" t="s">
        <v>1761</v>
      </c>
      <c r="B382" s="7" t="s">
        <v>1762</v>
      </c>
      <c r="C382" s="7" t="s">
        <v>294</v>
      </c>
      <c r="D382" s="7" t="s">
        <v>1763</v>
      </c>
      <c r="E382" s="7" t="s">
        <v>439</v>
      </c>
      <c r="F382" s="7" t="s">
        <v>289</v>
      </c>
      <c r="G382" s="7" t="s">
        <v>289</v>
      </c>
      <c r="H382" s="8">
        <v>1</v>
      </c>
      <c r="I382" s="7"/>
      <c r="J382" s="7"/>
      <c r="K382" s="7"/>
      <c r="L382" s="8"/>
      <c r="M382" s="8"/>
      <c r="N382" s="7"/>
      <c r="O382" s="7"/>
      <c r="P382" s="7" t="s">
        <v>87</v>
      </c>
      <c r="Q382" s="9">
        <v>46121</v>
      </c>
      <c r="R382" s="7" t="s">
        <v>290</v>
      </c>
      <c r="S382" s="10" t="s">
        <v>1764</v>
      </c>
    </row>
    <row r="383" spans="1:19" ht="27" x14ac:dyDescent="0.25">
      <c r="A383" s="17" t="s">
        <v>1765</v>
      </c>
      <c r="B383" s="7" t="s">
        <v>1766</v>
      </c>
      <c r="C383" s="7" t="s">
        <v>294</v>
      </c>
      <c r="D383" s="7"/>
      <c r="E383" s="7"/>
      <c r="F383" s="7" t="s">
        <v>289</v>
      </c>
      <c r="G383" s="7" t="s">
        <v>289</v>
      </c>
      <c r="H383" s="8"/>
      <c r="I383" s="7"/>
      <c r="J383" s="7"/>
      <c r="K383" s="7"/>
      <c r="L383" s="8"/>
      <c r="M383" s="8"/>
      <c r="N383" s="7"/>
      <c r="O383" s="7"/>
      <c r="P383" s="7" t="s">
        <v>87</v>
      </c>
      <c r="Q383" s="9">
        <v>46210</v>
      </c>
      <c r="R383" s="7" t="s">
        <v>290</v>
      </c>
      <c r="S383" s="10" t="s">
        <v>1767</v>
      </c>
    </row>
    <row r="384" spans="1:19" ht="54" x14ac:dyDescent="0.25">
      <c r="A384" s="17" t="s">
        <v>1768</v>
      </c>
      <c r="B384" s="7" t="s">
        <v>1769</v>
      </c>
      <c r="C384" s="7" t="s">
        <v>294</v>
      </c>
      <c r="D384" s="7" t="s">
        <v>1770</v>
      </c>
      <c r="E384" s="7" t="s">
        <v>439</v>
      </c>
      <c r="F384" s="7" t="s">
        <v>289</v>
      </c>
      <c r="G384" s="7" t="s">
        <v>289</v>
      </c>
      <c r="H384" s="8">
        <v>1</v>
      </c>
      <c r="I384" s="7"/>
      <c r="J384" s="7"/>
      <c r="K384" s="7"/>
      <c r="L384" s="8"/>
      <c r="M384" s="8"/>
      <c r="N384" s="7"/>
      <c r="O384" s="7"/>
      <c r="P384" s="7" t="s">
        <v>87</v>
      </c>
      <c r="Q384" s="9">
        <v>46121</v>
      </c>
      <c r="R384" s="7" t="s">
        <v>290</v>
      </c>
      <c r="S384" s="10" t="s">
        <v>1771</v>
      </c>
    </row>
    <row r="385" spans="1:19" ht="27" x14ac:dyDescent="0.25">
      <c r="A385" s="17" t="s">
        <v>1772</v>
      </c>
      <c r="B385" s="7" t="s">
        <v>1773</v>
      </c>
      <c r="C385" s="7" t="s">
        <v>294</v>
      </c>
      <c r="D385" s="7"/>
      <c r="E385" s="7"/>
      <c r="F385" s="7" t="s">
        <v>289</v>
      </c>
      <c r="G385" s="7" t="s">
        <v>289</v>
      </c>
      <c r="H385" s="8"/>
      <c r="I385" s="7"/>
      <c r="J385" s="7"/>
      <c r="K385" s="7"/>
      <c r="L385" s="8"/>
      <c r="M385" s="8"/>
      <c r="N385" s="7"/>
      <c r="O385" s="7"/>
      <c r="P385" s="7" t="s">
        <v>87</v>
      </c>
      <c r="Q385" s="9">
        <v>46210</v>
      </c>
      <c r="R385" s="7" t="s">
        <v>290</v>
      </c>
      <c r="S385" s="10" t="s">
        <v>1774</v>
      </c>
    </row>
    <row r="386" spans="1:19" ht="27" x14ac:dyDescent="0.25">
      <c r="A386" s="17" t="s">
        <v>1775</v>
      </c>
      <c r="B386" s="7" t="s">
        <v>1776</v>
      </c>
      <c r="C386" s="7" t="s">
        <v>1029</v>
      </c>
      <c r="D386" s="7"/>
      <c r="E386" s="7"/>
      <c r="F386" s="7" t="s">
        <v>289</v>
      </c>
      <c r="G386" s="7" t="s">
        <v>289</v>
      </c>
      <c r="H386" s="8"/>
      <c r="I386" s="7"/>
      <c r="J386" s="7"/>
      <c r="K386" s="7"/>
      <c r="L386" s="8"/>
      <c r="M386" s="8"/>
      <c r="N386" s="7"/>
      <c r="O386" s="7"/>
      <c r="P386" s="7" t="s">
        <v>87</v>
      </c>
      <c r="Q386" s="9">
        <v>46219</v>
      </c>
      <c r="R386" s="7" t="s">
        <v>290</v>
      </c>
      <c r="S386" s="10" t="s">
        <v>1777</v>
      </c>
    </row>
    <row r="387" spans="1:19" ht="54" x14ac:dyDescent="0.25">
      <c r="A387" s="17" t="s">
        <v>1778</v>
      </c>
      <c r="B387" s="7" t="s">
        <v>1779</v>
      </c>
      <c r="C387" s="7" t="s">
        <v>294</v>
      </c>
      <c r="D387" s="7" t="s">
        <v>1780</v>
      </c>
      <c r="E387" s="7" t="s">
        <v>439</v>
      </c>
      <c r="F387" s="7" t="s">
        <v>289</v>
      </c>
      <c r="G387" s="7" t="s">
        <v>289</v>
      </c>
      <c r="H387" s="8">
        <v>1</v>
      </c>
      <c r="I387" s="7"/>
      <c r="J387" s="7"/>
      <c r="K387" s="7"/>
      <c r="L387" s="8"/>
      <c r="M387" s="8"/>
      <c r="N387" s="7"/>
      <c r="O387" s="7"/>
      <c r="P387" s="7" t="s">
        <v>87</v>
      </c>
      <c r="Q387" s="9">
        <v>46121</v>
      </c>
      <c r="R387" s="7" t="s">
        <v>290</v>
      </c>
      <c r="S387" s="10" t="s">
        <v>1781</v>
      </c>
    </row>
    <row r="388" spans="1:19" ht="54" x14ac:dyDescent="0.25">
      <c r="A388" s="17" t="s">
        <v>1782</v>
      </c>
      <c r="B388" s="7" t="s">
        <v>1783</v>
      </c>
      <c r="C388" s="7" t="s">
        <v>294</v>
      </c>
      <c r="D388" s="7" t="s">
        <v>1784</v>
      </c>
      <c r="E388" s="7" t="s">
        <v>439</v>
      </c>
      <c r="F388" s="7" t="s">
        <v>289</v>
      </c>
      <c r="G388" s="7" t="s">
        <v>289</v>
      </c>
      <c r="H388" s="8">
        <v>1</v>
      </c>
      <c r="I388" s="7"/>
      <c r="J388" s="7"/>
      <c r="K388" s="7"/>
      <c r="L388" s="8"/>
      <c r="M388" s="8"/>
      <c r="N388" s="7"/>
      <c r="O388" s="7"/>
      <c r="P388" s="7" t="s">
        <v>87</v>
      </c>
      <c r="Q388" s="9">
        <v>46121</v>
      </c>
      <c r="R388" s="7" t="s">
        <v>290</v>
      </c>
      <c r="S388" s="10" t="s">
        <v>1785</v>
      </c>
    </row>
    <row r="389" spans="1:19" ht="54" x14ac:dyDescent="0.25">
      <c r="A389" s="17" t="s">
        <v>1786</v>
      </c>
      <c r="B389" s="7" t="s">
        <v>1787</v>
      </c>
      <c r="C389" s="7" t="s">
        <v>294</v>
      </c>
      <c r="D389" s="7" t="s">
        <v>1788</v>
      </c>
      <c r="E389" s="7" t="s">
        <v>439</v>
      </c>
      <c r="F389" s="7" t="s">
        <v>289</v>
      </c>
      <c r="G389" s="7" t="s">
        <v>289</v>
      </c>
      <c r="H389" s="8">
        <v>1</v>
      </c>
      <c r="I389" s="7"/>
      <c r="J389" s="7"/>
      <c r="K389" s="7"/>
      <c r="L389" s="8"/>
      <c r="M389" s="8"/>
      <c r="N389" s="7"/>
      <c r="O389" s="7"/>
      <c r="P389" s="7" t="s">
        <v>87</v>
      </c>
      <c r="Q389" s="9">
        <v>46121</v>
      </c>
      <c r="R389" s="7" t="s">
        <v>290</v>
      </c>
      <c r="S389" s="10" t="s">
        <v>1789</v>
      </c>
    </row>
    <row r="390" spans="1:19" ht="81" x14ac:dyDescent="0.25">
      <c r="A390" s="17" t="s">
        <v>1790</v>
      </c>
      <c r="B390" s="7" t="s">
        <v>1791</v>
      </c>
      <c r="C390" s="7" t="s">
        <v>455</v>
      </c>
      <c r="D390" s="7" t="s">
        <v>1792</v>
      </c>
      <c r="E390" s="7" t="s">
        <v>361</v>
      </c>
      <c r="F390" s="7" t="s">
        <v>25</v>
      </c>
      <c r="G390" s="7" t="s">
        <v>25</v>
      </c>
      <c r="H390" s="8">
        <v>1000</v>
      </c>
      <c r="I390" s="7"/>
      <c r="J390" s="7"/>
      <c r="K390" s="7"/>
      <c r="L390" s="8"/>
      <c r="M390" s="8"/>
      <c r="N390" s="7"/>
      <c r="O390" s="7"/>
      <c r="P390" s="7" t="s">
        <v>87</v>
      </c>
      <c r="Q390" s="9">
        <v>46125</v>
      </c>
      <c r="R390" s="7" t="s">
        <v>290</v>
      </c>
      <c r="S390" s="10" t="s">
        <v>1793</v>
      </c>
    </row>
    <row r="391" spans="1:19" ht="54" x14ac:dyDescent="0.25">
      <c r="A391" s="17" t="s">
        <v>1794</v>
      </c>
      <c r="B391" s="7" t="s">
        <v>1795</v>
      </c>
      <c r="C391" s="7" t="s">
        <v>437</v>
      </c>
      <c r="D391" s="7" t="s">
        <v>1796</v>
      </c>
      <c r="E391" s="7" t="s">
        <v>439</v>
      </c>
      <c r="F391" s="7" t="s">
        <v>289</v>
      </c>
      <c r="G391" s="7" t="s">
        <v>289</v>
      </c>
      <c r="H391" s="8">
        <v>1</v>
      </c>
      <c r="I391" s="7"/>
      <c r="J391" s="7"/>
      <c r="K391" s="7"/>
      <c r="L391" s="8"/>
      <c r="M391" s="8"/>
      <c r="N391" s="7"/>
      <c r="O391" s="7"/>
      <c r="P391" s="7" t="s">
        <v>87</v>
      </c>
      <c r="Q391" s="9">
        <v>46105</v>
      </c>
      <c r="R391" s="7" t="s">
        <v>290</v>
      </c>
      <c r="S391" s="10" t="s">
        <v>1797</v>
      </c>
    </row>
    <row r="392" spans="1:19" ht="40.5" x14ac:dyDescent="0.25">
      <c r="A392" s="17" t="s">
        <v>1798</v>
      </c>
      <c r="B392" s="7" t="s">
        <v>1799</v>
      </c>
      <c r="C392" s="7" t="s">
        <v>288</v>
      </c>
      <c r="D392" s="7"/>
      <c r="E392" s="7"/>
      <c r="F392" s="7" t="s">
        <v>289</v>
      </c>
      <c r="G392" s="7" t="s">
        <v>289</v>
      </c>
      <c r="H392" s="8"/>
      <c r="I392" s="7"/>
      <c r="J392" s="7"/>
      <c r="K392" s="7"/>
      <c r="L392" s="8"/>
      <c r="M392" s="8"/>
      <c r="N392" s="7"/>
      <c r="O392" s="7"/>
      <c r="P392" s="7" t="s">
        <v>87</v>
      </c>
      <c r="Q392" s="9">
        <v>46226</v>
      </c>
      <c r="R392" s="7" t="s">
        <v>290</v>
      </c>
      <c r="S392" s="10" t="s">
        <v>1800</v>
      </c>
    </row>
    <row r="393" spans="1:19" ht="40.5" x14ac:dyDescent="0.25">
      <c r="A393" s="17" t="s">
        <v>1801</v>
      </c>
      <c r="B393" s="7" t="s">
        <v>1802</v>
      </c>
      <c r="C393" s="7" t="s">
        <v>288</v>
      </c>
      <c r="D393" s="7"/>
      <c r="E393" s="7"/>
      <c r="F393" s="7" t="s">
        <v>289</v>
      </c>
      <c r="G393" s="7" t="s">
        <v>289</v>
      </c>
      <c r="H393" s="8"/>
      <c r="I393" s="7"/>
      <c r="J393" s="7"/>
      <c r="K393" s="7"/>
      <c r="L393" s="8"/>
      <c r="M393" s="8"/>
      <c r="N393" s="7"/>
      <c r="O393" s="7"/>
      <c r="P393" s="7" t="s">
        <v>87</v>
      </c>
      <c r="Q393" s="9">
        <v>46143</v>
      </c>
      <c r="R393" s="7" t="s">
        <v>290</v>
      </c>
      <c r="S393" s="10" t="s">
        <v>1803</v>
      </c>
    </row>
    <row r="394" spans="1:19" ht="40.5" x14ac:dyDescent="0.25">
      <c r="A394" s="17" t="s">
        <v>1804</v>
      </c>
      <c r="B394" s="7" t="s">
        <v>1805</v>
      </c>
      <c r="C394" s="7" t="s">
        <v>288</v>
      </c>
      <c r="D394" s="7"/>
      <c r="E394" s="7"/>
      <c r="F394" s="7" t="s">
        <v>289</v>
      </c>
      <c r="G394" s="7" t="s">
        <v>289</v>
      </c>
      <c r="H394" s="8"/>
      <c r="I394" s="7"/>
      <c r="J394" s="7"/>
      <c r="K394" s="7"/>
      <c r="L394" s="8"/>
      <c r="M394" s="8"/>
      <c r="N394" s="7"/>
      <c r="O394" s="7"/>
      <c r="P394" s="7" t="s">
        <v>87</v>
      </c>
      <c r="Q394" s="9">
        <v>46143</v>
      </c>
      <c r="R394" s="7" t="s">
        <v>290</v>
      </c>
      <c r="S394" s="10" t="s">
        <v>1806</v>
      </c>
    </row>
    <row r="395" spans="1:19" ht="40.5" x14ac:dyDescent="0.25">
      <c r="A395" s="17" t="s">
        <v>1807</v>
      </c>
      <c r="B395" s="7" t="s">
        <v>1808</v>
      </c>
      <c r="C395" s="7" t="s">
        <v>288</v>
      </c>
      <c r="D395" s="7"/>
      <c r="E395" s="7"/>
      <c r="F395" s="7" t="s">
        <v>289</v>
      </c>
      <c r="G395" s="7" t="s">
        <v>289</v>
      </c>
      <c r="H395" s="8"/>
      <c r="I395" s="7"/>
      <c r="J395" s="7"/>
      <c r="K395" s="7"/>
      <c r="L395" s="8"/>
      <c r="M395" s="8"/>
      <c r="N395" s="7"/>
      <c r="O395" s="7"/>
      <c r="P395" s="7" t="s">
        <v>87</v>
      </c>
      <c r="Q395" s="9">
        <v>46143</v>
      </c>
      <c r="R395" s="7" t="s">
        <v>290</v>
      </c>
      <c r="S395" s="10" t="s">
        <v>1809</v>
      </c>
    </row>
    <row r="396" spans="1:19" ht="40.5" x14ac:dyDescent="0.25">
      <c r="A396" s="17" t="s">
        <v>1810</v>
      </c>
      <c r="B396" s="7" t="s">
        <v>1811</v>
      </c>
      <c r="C396" s="7" t="s">
        <v>288</v>
      </c>
      <c r="D396" s="7"/>
      <c r="E396" s="7"/>
      <c r="F396" s="7" t="s">
        <v>289</v>
      </c>
      <c r="G396" s="7" t="s">
        <v>289</v>
      </c>
      <c r="H396" s="8"/>
      <c r="I396" s="7"/>
      <c r="J396" s="7"/>
      <c r="K396" s="7"/>
      <c r="L396" s="8"/>
      <c r="M396" s="8"/>
      <c r="N396" s="7"/>
      <c r="O396" s="7"/>
      <c r="P396" s="7" t="s">
        <v>87</v>
      </c>
      <c r="Q396" s="9">
        <v>46143</v>
      </c>
      <c r="R396" s="7" t="s">
        <v>290</v>
      </c>
      <c r="S396" s="10" t="s">
        <v>1812</v>
      </c>
    </row>
    <row r="397" spans="1:19" ht="40.5" x14ac:dyDescent="0.25">
      <c r="A397" s="17" t="s">
        <v>1813</v>
      </c>
      <c r="B397" s="7" t="s">
        <v>1814</v>
      </c>
      <c r="C397" s="7" t="s">
        <v>288</v>
      </c>
      <c r="D397" s="7"/>
      <c r="E397" s="7"/>
      <c r="F397" s="7" t="s">
        <v>289</v>
      </c>
      <c r="G397" s="7" t="s">
        <v>289</v>
      </c>
      <c r="H397" s="8"/>
      <c r="I397" s="7"/>
      <c r="J397" s="7"/>
      <c r="K397" s="7"/>
      <c r="L397" s="8"/>
      <c r="M397" s="8"/>
      <c r="N397" s="7"/>
      <c r="O397" s="7"/>
      <c r="P397" s="7" t="s">
        <v>87</v>
      </c>
      <c r="Q397" s="9">
        <v>46143</v>
      </c>
      <c r="R397" s="7" t="s">
        <v>290</v>
      </c>
      <c r="S397" s="10" t="s">
        <v>1815</v>
      </c>
    </row>
    <row r="398" spans="1:19" ht="40.5" x14ac:dyDescent="0.25">
      <c r="A398" s="17" t="s">
        <v>1816</v>
      </c>
      <c r="B398" s="7" t="s">
        <v>1817</v>
      </c>
      <c r="C398" s="7" t="s">
        <v>288</v>
      </c>
      <c r="D398" s="7"/>
      <c r="E398" s="7"/>
      <c r="F398" s="7" t="s">
        <v>289</v>
      </c>
      <c r="G398" s="7" t="s">
        <v>289</v>
      </c>
      <c r="H398" s="8"/>
      <c r="I398" s="7"/>
      <c r="J398" s="7"/>
      <c r="K398" s="7"/>
      <c r="L398" s="8"/>
      <c r="M398" s="8"/>
      <c r="N398" s="7"/>
      <c r="O398" s="7"/>
      <c r="P398" s="7" t="s">
        <v>87</v>
      </c>
      <c r="Q398" s="9">
        <v>46143</v>
      </c>
      <c r="R398" s="7" t="s">
        <v>290</v>
      </c>
      <c r="S398" s="10" t="s">
        <v>1818</v>
      </c>
    </row>
    <row r="399" spans="1:19" ht="27" x14ac:dyDescent="0.25">
      <c r="A399" s="17" t="s">
        <v>1819</v>
      </c>
      <c r="B399" s="7" t="s">
        <v>1820</v>
      </c>
      <c r="C399" s="7" t="s">
        <v>816</v>
      </c>
      <c r="D399" s="7"/>
      <c r="E399" s="7"/>
      <c r="F399" s="7" t="s">
        <v>289</v>
      </c>
      <c r="G399" s="7" t="s">
        <v>289</v>
      </c>
      <c r="H399" s="8"/>
      <c r="I399" s="7"/>
      <c r="J399" s="7"/>
      <c r="K399" s="7"/>
      <c r="L399" s="8"/>
      <c r="M399" s="8"/>
      <c r="N399" s="7"/>
      <c r="O399" s="7"/>
      <c r="P399" s="7" t="s">
        <v>87</v>
      </c>
      <c r="Q399" s="9">
        <v>46197</v>
      </c>
      <c r="R399" s="7" t="s">
        <v>290</v>
      </c>
      <c r="S399" s="10" t="s">
        <v>1821</v>
      </c>
    </row>
    <row r="400" spans="1:19" ht="27" x14ac:dyDescent="0.25">
      <c r="A400" s="17" t="s">
        <v>1822</v>
      </c>
      <c r="B400" s="7" t="s">
        <v>1823</v>
      </c>
      <c r="C400" s="7" t="s">
        <v>680</v>
      </c>
      <c r="D400" s="7"/>
      <c r="E400" s="7"/>
      <c r="F400" s="7" t="s">
        <v>289</v>
      </c>
      <c r="G400" s="7" t="s">
        <v>289</v>
      </c>
      <c r="H400" s="8"/>
      <c r="I400" s="7"/>
      <c r="J400" s="7"/>
      <c r="K400" s="7"/>
      <c r="L400" s="8"/>
      <c r="M400" s="8"/>
      <c r="N400" s="7"/>
      <c r="O400" s="7"/>
      <c r="P400" s="7" t="s">
        <v>87</v>
      </c>
      <c r="Q400" s="9">
        <v>46185</v>
      </c>
      <c r="R400" s="7" t="s">
        <v>290</v>
      </c>
      <c r="S400" s="10" t="s">
        <v>1824</v>
      </c>
    </row>
    <row r="401" spans="1:19" ht="27" x14ac:dyDescent="0.25">
      <c r="A401" s="17" t="s">
        <v>1825</v>
      </c>
      <c r="B401" s="7" t="s">
        <v>1826</v>
      </c>
      <c r="C401" s="7" t="s">
        <v>680</v>
      </c>
      <c r="D401" s="7"/>
      <c r="E401" s="7"/>
      <c r="F401" s="7" t="s">
        <v>289</v>
      </c>
      <c r="G401" s="7" t="s">
        <v>289</v>
      </c>
      <c r="H401" s="8"/>
      <c r="I401" s="7"/>
      <c r="J401" s="7"/>
      <c r="K401" s="7"/>
      <c r="L401" s="8"/>
      <c r="M401" s="8"/>
      <c r="N401" s="7"/>
      <c r="O401" s="7"/>
      <c r="P401" s="7" t="s">
        <v>87</v>
      </c>
      <c r="Q401" s="9">
        <v>46185</v>
      </c>
      <c r="R401" s="7" t="s">
        <v>290</v>
      </c>
      <c r="S401" s="10" t="s">
        <v>1827</v>
      </c>
    </row>
    <row r="402" spans="1:19" ht="27" x14ac:dyDescent="0.25">
      <c r="A402" s="17" t="s">
        <v>1828</v>
      </c>
      <c r="B402" s="7" t="s">
        <v>1829</v>
      </c>
      <c r="C402" s="7" t="s">
        <v>680</v>
      </c>
      <c r="D402" s="7"/>
      <c r="E402" s="7"/>
      <c r="F402" s="7" t="s">
        <v>289</v>
      </c>
      <c r="G402" s="7" t="s">
        <v>289</v>
      </c>
      <c r="H402" s="8"/>
      <c r="I402" s="7"/>
      <c r="J402" s="7"/>
      <c r="K402" s="7"/>
      <c r="L402" s="8"/>
      <c r="M402" s="8"/>
      <c r="N402" s="7"/>
      <c r="O402" s="7"/>
      <c r="P402" s="7" t="s">
        <v>87</v>
      </c>
      <c r="Q402" s="9">
        <v>46185</v>
      </c>
      <c r="R402" s="7" t="s">
        <v>290</v>
      </c>
      <c r="S402" s="10" t="s">
        <v>1830</v>
      </c>
    </row>
    <row r="403" spans="1:19" ht="27" x14ac:dyDescent="0.25">
      <c r="A403" s="17" t="s">
        <v>1831</v>
      </c>
      <c r="B403" s="7" t="s">
        <v>1832</v>
      </c>
      <c r="C403" s="7" t="s">
        <v>680</v>
      </c>
      <c r="D403" s="7"/>
      <c r="E403" s="7"/>
      <c r="F403" s="7" t="s">
        <v>289</v>
      </c>
      <c r="G403" s="7" t="s">
        <v>289</v>
      </c>
      <c r="H403" s="8"/>
      <c r="I403" s="7"/>
      <c r="J403" s="7"/>
      <c r="K403" s="7"/>
      <c r="L403" s="8"/>
      <c r="M403" s="8"/>
      <c r="N403" s="7"/>
      <c r="O403" s="7"/>
      <c r="P403" s="7" t="s">
        <v>87</v>
      </c>
      <c r="Q403" s="9">
        <v>46185</v>
      </c>
      <c r="R403" s="7" t="s">
        <v>290</v>
      </c>
      <c r="S403" s="10" t="s">
        <v>1833</v>
      </c>
    </row>
    <row r="404" spans="1:19" ht="27" x14ac:dyDescent="0.25">
      <c r="A404" s="17" t="s">
        <v>1834</v>
      </c>
      <c r="B404" s="7" t="s">
        <v>1835</v>
      </c>
      <c r="C404" s="7" t="s">
        <v>680</v>
      </c>
      <c r="D404" s="7"/>
      <c r="E404" s="7"/>
      <c r="F404" s="7" t="s">
        <v>289</v>
      </c>
      <c r="G404" s="7" t="s">
        <v>289</v>
      </c>
      <c r="H404" s="8"/>
      <c r="I404" s="7"/>
      <c r="J404" s="7"/>
      <c r="K404" s="7"/>
      <c r="L404" s="8"/>
      <c r="M404" s="8"/>
      <c r="N404" s="7"/>
      <c r="O404" s="7"/>
      <c r="P404" s="7" t="s">
        <v>87</v>
      </c>
      <c r="Q404" s="9">
        <v>46185</v>
      </c>
      <c r="R404" s="7" t="s">
        <v>290</v>
      </c>
      <c r="S404" s="10" t="s">
        <v>1836</v>
      </c>
    </row>
    <row r="405" spans="1:19" ht="27" x14ac:dyDescent="0.25">
      <c r="A405" s="17" t="s">
        <v>1837</v>
      </c>
      <c r="B405" s="7" t="s">
        <v>1838</v>
      </c>
      <c r="C405" s="7" t="s">
        <v>680</v>
      </c>
      <c r="D405" s="7"/>
      <c r="E405" s="7"/>
      <c r="F405" s="7" t="s">
        <v>289</v>
      </c>
      <c r="G405" s="7" t="s">
        <v>289</v>
      </c>
      <c r="H405" s="8"/>
      <c r="I405" s="7"/>
      <c r="J405" s="7"/>
      <c r="K405" s="7"/>
      <c r="L405" s="8"/>
      <c r="M405" s="8"/>
      <c r="N405" s="7"/>
      <c r="O405" s="7"/>
      <c r="P405" s="7" t="s">
        <v>87</v>
      </c>
      <c r="Q405" s="9">
        <v>46185</v>
      </c>
      <c r="R405" s="7" t="s">
        <v>290</v>
      </c>
      <c r="S405" s="10" t="s">
        <v>1839</v>
      </c>
    </row>
    <row r="406" spans="1:19" ht="27" x14ac:dyDescent="0.25">
      <c r="A406" s="17" t="s">
        <v>1840</v>
      </c>
      <c r="B406" s="7" t="s">
        <v>1841</v>
      </c>
      <c r="C406" s="7" t="s">
        <v>692</v>
      </c>
      <c r="D406" s="7"/>
      <c r="E406" s="7"/>
      <c r="F406" s="7" t="s">
        <v>289</v>
      </c>
      <c r="G406" s="7" t="s">
        <v>289</v>
      </c>
      <c r="H406" s="8"/>
      <c r="I406" s="7"/>
      <c r="J406" s="7"/>
      <c r="K406" s="7"/>
      <c r="L406" s="8"/>
      <c r="M406" s="8"/>
      <c r="N406" s="7"/>
      <c r="O406" s="7"/>
      <c r="P406" s="7" t="s">
        <v>87</v>
      </c>
      <c r="Q406" s="9">
        <v>46165</v>
      </c>
      <c r="R406" s="7" t="s">
        <v>290</v>
      </c>
      <c r="S406" s="10" t="s">
        <v>1842</v>
      </c>
    </row>
    <row r="407" spans="1:19" ht="27" x14ac:dyDescent="0.25">
      <c r="A407" s="17" t="s">
        <v>1843</v>
      </c>
      <c r="B407" s="7" t="s">
        <v>1844</v>
      </c>
      <c r="C407" s="7" t="s">
        <v>680</v>
      </c>
      <c r="D407" s="7"/>
      <c r="E407" s="7"/>
      <c r="F407" s="7" t="s">
        <v>289</v>
      </c>
      <c r="G407" s="7" t="s">
        <v>289</v>
      </c>
      <c r="H407" s="8"/>
      <c r="I407" s="7"/>
      <c r="J407" s="7"/>
      <c r="K407" s="7"/>
      <c r="L407" s="8"/>
      <c r="M407" s="8"/>
      <c r="N407" s="7"/>
      <c r="O407" s="7"/>
      <c r="P407" s="7" t="s">
        <v>87</v>
      </c>
      <c r="Q407" s="9">
        <v>46185</v>
      </c>
      <c r="R407" s="7" t="s">
        <v>290</v>
      </c>
      <c r="S407" s="10" t="s">
        <v>1845</v>
      </c>
    </row>
    <row r="408" spans="1:19" ht="27" x14ac:dyDescent="0.25">
      <c r="A408" s="17" t="s">
        <v>1846</v>
      </c>
      <c r="B408" s="7" t="s">
        <v>1847</v>
      </c>
      <c r="C408" s="7" t="s">
        <v>680</v>
      </c>
      <c r="D408" s="7"/>
      <c r="E408" s="7"/>
      <c r="F408" s="7" t="s">
        <v>289</v>
      </c>
      <c r="G408" s="7" t="s">
        <v>289</v>
      </c>
      <c r="H408" s="8"/>
      <c r="I408" s="7"/>
      <c r="J408" s="7"/>
      <c r="K408" s="7"/>
      <c r="L408" s="8"/>
      <c r="M408" s="8"/>
      <c r="N408" s="7"/>
      <c r="O408" s="7"/>
      <c r="P408" s="7" t="s">
        <v>87</v>
      </c>
      <c r="Q408" s="9">
        <v>46185</v>
      </c>
      <c r="R408" s="7" t="s">
        <v>290</v>
      </c>
      <c r="S408" s="10" t="s">
        <v>1848</v>
      </c>
    </row>
    <row r="409" spans="1:19" ht="81" x14ac:dyDescent="0.25">
      <c r="A409" s="17" t="s">
        <v>1849</v>
      </c>
      <c r="B409" s="7" t="s">
        <v>1850</v>
      </c>
      <c r="C409" s="7" t="s">
        <v>1851</v>
      </c>
      <c r="D409" s="7" t="s">
        <v>1852</v>
      </c>
      <c r="E409" s="7" t="s">
        <v>1853</v>
      </c>
      <c r="F409" s="7" t="s">
        <v>289</v>
      </c>
      <c r="G409" s="7" t="s">
        <v>289</v>
      </c>
      <c r="H409" s="8">
        <v>30</v>
      </c>
      <c r="I409" s="7"/>
      <c r="J409" s="7"/>
      <c r="K409" s="7"/>
      <c r="L409" s="8"/>
      <c r="M409" s="8"/>
      <c r="N409" s="7"/>
      <c r="O409" s="7"/>
      <c r="P409" s="7" t="s">
        <v>87</v>
      </c>
      <c r="Q409" s="9">
        <v>46073</v>
      </c>
      <c r="R409" s="7" t="s">
        <v>290</v>
      </c>
      <c r="S409" s="10" t="s">
        <v>1854</v>
      </c>
    </row>
    <row r="410" spans="1:19" ht="81" x14ac:dyDescent="0.25">
      <c r="A410" s="17" t="s">
        <v>1855</v>
      </c>
      <c r="B410" s="7" t="s">
        <v>1856</v>
      </c>
      <c r="C410" s="7" t="s">
        <v>1851</v>
      </c>
      <c r="D410" s="7" t="s">
        <v>1857</v>
      </c>
      <c r="E410" s="7" t="s">
        <v>1858</v>
      </c>
      <c r="F410" s="7" t="s">
        <v>289</v>
      </c>
      <c r="G410" s="7" t="s">
        <v>289</v>
      </c>
      <c r="H410" s="8">
        <v>24</v>
      </c>
      <c r="I410" s="7"/>
      <c r="J410" s="7"/>
      <c r="K410" s="7"/>
      <c r="L410" s="8"/>
      <c r="M410" s="8"/>
      <c r="N410" s="7"/>
      <c r="O410" s="7"/>
      <c r="P410" s="7" t="s">
        <v>87</v>
      </c>
      <c r="Q410" s="9">
        <v>46095</v>
      </c>
      <c r="R410" s="7" t="s">
        <v>290</v>
      </c>
      <c r="S410" s="10" t="s">
        <v>1859</v>
      </c>
    </row>
    <row r="411" spans="1:19" ht="40.5" x14ac:dyDescent="0.25">
      <c r="A411" s="17" t="s">
        <v>1860</v>
      </c>
      <c r="B411" s="7" t="s">
        <v>1861</v>
      </c>
      <c r="C411" s="7" t="s">
        <v>288</v>
      </c>
      <c r="D411" s="7"/>
      <c r="E411" s="7"/>
      <c r="F411" s="7" t="s">
        <v>289</v>
      </c>
      <c r="G411" s="7" t="s">
        <v>289</v>
      </c>
      <c r="H411" s="8"/>
      <c r="I411" s="7"/>
      <c r="J411" s="7"/>
      <c r="K411" s="7"/>
      <c r="L411" s="8"/>
      <c r="M411" s="8"/>
      <c r="N411" s="7"/>
      <c r="O411" s="7"/>
      <c r="P411" s="7" t="s">
        <v>87</v>
      </c>
      <c r="Q411" s="9">
        <v>46172</v>
      </c>
      <c r="R411" s="7" t="s">
        <v>290</v>
      </c>
      <c r="S411" s="10" t="s">
        <v>1862</v>
      </c>
    </row>
    <row r="412" spans="1:19" ht="40.5" x14ac:dyDescent="0.25">
      <c r="A412" s="17" t="s">
        <v>1863</v>
      </c>
      <c r="B412" s="7" t="s">
        <v>1864</v>
      </c>
      <c r="C412" s="7" t="s">
        <v>288</v>
      </c>
      <c r="D412" s="7"/>
      <c r="E412" s="7"/>
      <c r="F412" s="7" t="s">
        <v>289</v>
      </c>
      <c r="G412" s="7" t="s">
        <v>289</v>
      </c>
      <c r="H412" s="8"/>
      <c r="I412" s="7"/>
      <c r="J412" s="7"/>
      <c r="K412" s="7"/>
      <c r="L412" s="8"/>
      <c r="M412" s="8"/>
      <c r="N412" s="7"/>
      <c r="O412" s="7"/>
      <c r="P412" s="7" t="s">
        <v>87</v>
      </c>
      <c r="Q412" s="9">
        <v>46226</v>
      </c>
      <c r="R412" s="7" t="s">
        <v>290</v>
      </c>
      <c r="S412" s="10" t="s">
        <v>1865</v>
      </c>
    </row>
    <row r="413" spans="1:19" ht="81" x14ac:dyDescent="0.25">
      <c r="A413" s="17" t="s">
        <v>1866</v>
      </c>
      <c r="B413" s="7" t="s">
        <v>1867</v>
      </c>
      <c r="C413" s="7" t="s">
        <v>1868</v>
      </c>
      <c r="D413" s="7" t="s">
        <v>1869</v>
      </c>
      <c r="E413" s="7" t="s">
        <v>1870</v>
      </c>
      <c r="F413" s="7" t="s">
        <v>289</v>
      </c>
      <c r="G413" s="7" t="s">
        <v>289</v>
      </c>
      <c r="H413" s="8">
        <v>100</v>
      </c>
      <c r="I413" s="7"/>
      <c r="J413" s="7"/>
      <c r="K413" s="7"/>
      <c r="L413" s="8"/>
      <c r="M413" s="8"/>
      <c r="N413" s="7"/>
      <c r="O413" s="7"/>
      <c r="P413" s="7" t="s">
        <v>87</v>
      </c>
      <c r="Q413" s="9">
        <v>46097</v>
      </c>
      <c r="R413" s="7" t="s">
        <v>290</v>
      </c>
      <c r="S413" s="10" t="s">
        <v>1871</v>
      </c>
    </row>
    <row r="414" spans="1:19" ht="27" x14ac:dyDescent="0.25">
      <c r="A414" s="17" t="s">
        <v>1872</v>
      </c>
      <c r="B414" s="7" t="s">
        <v>1867</v>
      </c>
      <c r="C414" s="7" t="s">
        <v>491</v>
      </c>
      <c r="D414" s="7"/>
      <c r="E414" s="7"/>
      <c r="F414" s="7" t="s">
        <v>289</v>
      </c>
      <c r="G414" s="7" t="s">
        <v>289</v>
      </c>
      <c r="H414" s="8"/>
      <c r="I414" s="7"/>
      <c r="J414" s="7"/>
      <c r="K414" s="7"/>
      <c r="L414" s="8"/>
      <c r="M414" s="8"/>
      <c r="N414" s="7"/>
      <c r="O414" s="7"/>
      <c r="P414" s="7" t="s">
        <v>87</v>
      </c>
      <c r="Q414" s="9">
        <v>46184</v>
      </c>
      <c r="R414" s="7" t="s">
        <v>290</v>
      </c>
      <c r="S414" s="10" t="s">
        <v>1873</v>
      </c>
    </row>
    <row r="415" spans="1:19" ht="27" x14ac:dyDescent="0.25">
      <c r="A415" s="17" t="s">
        <v>1874</v>
      </c>
      <c r="B415" s="7" t="s">
        <v>1875</v>
      </c>
      <c r="C415" s="7" t="s">
        <v>491</v>
      </c>
      <c r="D415" s="7"/>
      <c r="E415" s="7"/>
      <c r="F415" s="7" t="s">
        <v>289</v>
      </c>
      <c r="G415" s="7" t="s">
        <v>289</v>
      </c>
      <c r="H415" s="8"/>
      <c r="I415" s="7"/>
      <c r="J415" s="7"/>
      <c r="K415" s="7"/>
      <c r="L415" s="8"/>
      <c r="M415" s="8"/>
      <c r="N415" s="7"/>
      <c r="O415" s="7"/>
      <c r="P415" s="7" t="s">
        <v>87</v>
      </c>
      <c r="Q415" s="9">
        <v>46195</v>
      </c>
      <c r="R415" s="7" t="s">
        <v>290</v>
      </c>
      <c r="S415" s="10" t="s">
        <v>1876</v>
      </c>
    </row>
    <row r="416" spans="1:19" ht="81" x14ac:dyDescent="0.25">
      <c r="A416" s="17" t="s">
        <v>1877</v>
      </c>
      <c r="B416" s="7" t="s">
        <v>1875</v>
      </c>
      <c r="C416" s="7" t="s">
        <v>1868</v>
      </c>
      <c r="D416" s="7" t="s">
        <v>1878</v>
      </c>
      <c r="E416" s="7" t="s">
        <v>1870</v>
      </c>
      <c r="F416" s="7" t="s">
        <v>289</v>
      </c>
      <c r="G416" s="7" t="s">
        <v>289</v>
      </c>
      <c r="H416" s="8">
        <v>100</v>
      </c>
      <c r="I416" s="7"/>
      <c r="J416" s="7"/>
      <c r="K416" s="7"/>
      <c r="L416" s="8"/>
      <c r="M416" s="8"/>
      <c r="N416" s="7"/>
      <c r="O416" s="7"/>
      <c r="P416" s="7" t="s">
        <v>87</v>
      </c>
      <c r="Q416" s="9">
        <v>46097</v>
      </c>
      <c r="R416" s="7" t="s">
        <v>290</v>
      </c>
      <c r="S416" s="10" t="s">
        <v>1879</v>
      </c>
    </row>
    <row r="417" spans="1:19" ht="27" x14ac:dyDescent="0.25">
      <c r="A417" s="17" t="s">
        <v>1880</v>
      </c>
      <c r="B417" s="7" t="s">
        <v>1881</v>
      </c>
      <c r="C417" s="7" t="s">
        <v>491</v>
      </c>
      <c r="D417" s="7"/>
      <c r="E417" s="7"/>
      <c r="F417" s="7" t="s">
        <v>289</v>
      </c>
      <c r="G417" s="7" t="s">
        <v>289</v>
      </c>
      <c r="H417" s="8"/>
      <c r="I417" s="7"/>
      <c r="J417" s="7"/>
      <c r="K417" s="7"/>
      <c r="L417" s="8"/>
      <c r="M417" s="8"/>
      <c r="N417" s="7"/>
      <c r="O417" s="7"/>
      <c r="P417" s="7" t="s">
        <v>87</v>
      </c>
      <c r="Q417" s="9">
        <v>46195</v>
      </c>
      <c r="R417" s="7" t="s">
        <v>290</v>
      </c>
      <c r="S417" s="10" t="s">
        <v>1882</v>
      </c>
    </row>
    <row r="418" spans="1:19" ht="81" x14ac:dyDescent="0.25">
      <c r="A418" s="17" t="s">
        <v>1883</v>
      </c>
      <c r="B418" s="7" t="s">
        <v>1881</v>
      </c>
      <c r="C418" s="7" t="s">
        <v>1868</v>
      </c>
      <c r="D418" s="7" t="s">
        <v>1884</v>
      </c>
      <c r="E418" s="7" t="s">
        <v>1870</v>
      </c>
      <c r="F418" s="7" t="s">
        <v>289</v>
      </c>
      <c r="G418" s="7" t="s">
        <v>289</v>
      </c>
      <c r="H418" s="8">
        <v>100</v>
      </c>
      <c r="I418" s="7"/>
      <c r="J418" s="7"/>
      <c r="K418" s="7"/>
      <c r="L418" s="8"/>
      <c r="M418" s="8"/>
      <c r="N418" s="7"/>
      <c r="O418" s="7"/>
      <c r="P418" s="7" t="s">
        <v>87</v>
      </c>
      <c r="Q418" s="9">
        <v>46097</v>
      </c>
      <c r="R418" s="7" t="s">
        <v>290</v>
      </c>
      <c r="S418" s="10" t="s">
        <v>1885</v>
      </c>
    </row>
    <row r="419" spans="1:19" ht="27" x14ac:dyDescent="0.25">
      <c r="A419" s="17" t="s">
        <v>1886</v>
      </c>
      <c r="B419" s="7" t="s">
        <v>1887</v>
      </c>
      <c r="C419" s="7" t="s">
        <v>294</v>
      </c>
      <c r="D419" s="7"/>
      <c r="E419" s="7"/>
      <c r="F419" s="7" t="s">
        <v>289</v>
      </c>
      <c r="G419" s="7" t="s">
        <v>289</v>
      </c>
      <c r="H419" s="8"/>
      <c r="I419" s="7"/>
      <c r="J419" s="7"/>
      <c r="K419" s="7"/>
      <c r="L419" s="8"/>
      <c r="M419" s="8"/>
      <c r="N419" s="7"/>
      <c r="O419" s="7"/>
      <c r="P419" s="7" t="s">
        <v>87</v>
      </c>
      <c r="Q419" s="9">
        <v>46221</v>
      </c>
      <c r="R419" s="7" t="s">
        <v>290</v>
      </c>
      <c r="S419" s="10" t="s">
        <v>1888</v>
      </c>
    </row>
    <row r="420" spans="1:19" ht="81" x14ac:dyDescent="0.25">
      <c r="A420" s="17" t="s">
        <v>1889</v>
      </c>
      <c r="B420" s="7" t="s">
        <v>1890</v>
      </c>
      <c r="C420" s="7" t="s">
        <v>714</v>
      </c>
      <c r="D420" s="7" t="s">
        <v>1891</v>
      </c>
      <c r="E420" s="7" t="s">
        <v>1366</v>
      </c>
      <c r="F420" s="7" t="s">
        <v>308</v>
      </c>
      <c r="G420" s="7" t="s">
        <v>308</v>
      </c>
      <c r="H420" s="8">
        <v>1000</v>
      </c>
      <c r="I420" s="7"/>
      <c r="J420" s="7"/>
      <c r="K420" s="7"/>
      <c r="L420" s="8"/>
      <c r="M420" s="8"/>
      <c r="N420" s="7"/>
      <c r="O420" s="7"/>
      <c r="P420" s="7" t="s">
        <v>87</v>
      </c>
      <c r="Q420" s="9">
        <v>46094</v>
      </c>
      <c r="R420" s="7" t="s">
        <v>290</v>
      </c>
      <c r="S420" s="10" t="s">
        <v>1892</v>
      </c>
    </row>
    <row r="421" spans="1:19" ht="81" x14ac:dyDescent="0.25">
      <c r="A421" s="17" t="s">
        <v>1893</v>
      </c>
      <c r="B421" s="7" t="s">
        <v>1894</v>
      </c>
      <c r="C421" s="7" t="s">
        <v>431</v>
      </c>
      <c r="D421" s="7" t="s">
        <v>1895</v>
      </c>
      <c r="E421" s="7" t="s">
        <v>361</v>
      </c>
      <c r="F421" s="7" t="s">
        <v>25</v>
      </c>
      <c r="G421" s="7" t="s">
        <v>25</v>
      </c>
      <c r="H421" s="8">
        <v>1000</v>
      </c>
      <c r="I421" s="7"/>
      <c r="J421" s="7"/>
      <c r="K421" s="7"/>
      <c r="L421" s="8"/>
      <c r="M421" s="8"/>
      <c r="N421" s="7"/>
      <c r="O421" s="7"/>
      <c r="P421" s="7" t="s">
        <v>87</v>
      </c>
      <c r="Q421" s="9">
        <v>46094</v>
      </c>
      <c r="R421" s="7" t="s">
        <v>290</v>
      </c>
      <c r="S421" s="10" t="s">
        <v>1896</v>
      </c>
    </row>
    <row r="422" spans="1:19" ht="81" x14ac:dyDescent="0.25">
      <c r="A422" s="17" t="s">
        <v>1897</v>
      </c>
      <c r="B422" s="7" t="s">
        <v>1898</v>
      </c>
      <c r="C422" s="7" t="s">
        <v>481</v>
      </c>
      <c r="D422" s="7" t="s">
        <v>1899</v>
      </c>
      <c r="E422" s="7" t="s">
        <v>1900</v>
      </c>
      <c r="F422" s="7" t="s">
        <v>308</v>
      </c>
      <c r="G422" s="7" t="s">
        <v>308</v>
      </c>
      <c r="H422" s="8">
        <v>700</v>
      </c>
      <c r="I422" s="7"/>
      <c r="J422" s="7"/>
      <c r="K422" s="7"/>
      <c r="L422" s="8"/>
      <c r="M422" s="8"/>
      <c r="N422" s="7"/>
      <c r="O422" s="7"/>
      <c r="P422" s="7" t="s">
        <v>87</v>
      </c>
      <c r="Q422" s="9">
        <v>46203</v>
      </c>
      <c r="R422" s="7" t="s">
        <v>290</v>
      </c>
      <c r="S422" s="10" t="s">
        <v>1901</v>
      </c>
    </row>
    <row r="423" spans="1:19" ht="81" x14ac:dyDescent="0.25">
      <c r="A423" s="17" t="s">
        <v>1902</v>
      </c>
      <c r="B423" s="7" t="s">
        <v>1903</v>
      </c>
      <c r="C423" s="7" t="s">
        <v>1101</v>
      </c>
      <c r="D423" s="7" t="s">
        <v>1904</v>
      </c>
      <c r="E423" s="7" t="s">
        <v>651</v>
      </c>
      <c r="F423" s="7" t="s">
        <v>25</v>
      </c>
      <c r="G423" s="7" t="s">
        <v>25</v>
      </c>
      <c r="H423" s="8">
        <v>500</v>
      </c>
      <c r="I423" s="7"/>
      <c r="J423" s="7"/>
      <c r="K423" s="7"/>
      <c r="L423" s="8"/>
      <c r="M423" s="8"/>
      <c r="N423" s="7"/>
      <c r="O423" s="7"/>
      <c r="P423" s="7" t="s">
        <v>87</v>
      </c>
      <c r="Q423" s="9">
        <v>46094</v>
      </c>
      <c r="R423" s="7" t="s">
        <v>290</v>
      </c>
      <c r="S423" s="10" t="s">
        <v>1905</v>
      </c>
    </row>
    <row r="424" spans="1:19" ht="81" x14ac:dyDescent="0.25">
      <c r="A424" s="17" t="s">
        <v>1906</v>
      </c>
      <c r="B424" s="7" t="s">
        <v>1907</v>
      </c>
      <c r="C424" s="7" t="s">
        <v>1101</v>
      </c>
      <c r="D424" s="7" t="s">
        <v>1908</v>
      </c>
      <c r="E424" s="7" t="s">
        <v>651</v>
      </c>
      <c r="F424" s="7" t="s">
        <v>25</v>
      </c>
      <c r="G424" s="7" t="s">
        <v>25</v>
      </c>
      <c r="H424" s="8">
        <v>340</v>
      </c>
      <c r="I424" s="7"/>
      <c r="J424" s="7"/>
      <c r="K424" s="7"/>
      <c r="L424" s="8"/>
      <c r="M424" s="8"/>
      <c r="N424" s="7"/>
      <c r="O424" s="7"/>
      <c r="P424" s="7" t="s">
        <v>87</v>
      </c>
      <c r="Q424" s="9">
        <v>46095</v>
      </c>
      <c r="R424" s="7" t="s">
        <v>290</v>
      </c>
      <c r="S424" s="10" t="s">
        <v>1909</v>
      </c>
    </row>
    <row r="425" spans="1:19" ht="81" x14ac:dyDescent="0.25">
      <c r="A425" s="17" t="s">
        <v>1910</v>
      </c>
      <c r="B425" s="7" t="s">
        <v>1911</v>
      </c>
      <c r="C425" s="7" t="s">
        <v>1101</v>
      </c>
      <c r="D425" s="7" t="s">
        <v>1912</v>
      </c>
      <c r="E425" s="7" t="s">
        <v>1913</v>
      </c>
      <c r="F425" s="7" t="s">
        <v>25</v>
      </c>
      <c r="G425" s="7" t="s">
        <v>25</v>
      </c>
      <c r="H425" s="8">
        <v>400</v>
      </c>
      <c r="I425" s="7"/>
      <c r="J425" s="7"/>
      <c r="K425" s="7"/>
      <c r="L425" s="8"/>
      <c r="M425" s="8"/>
      <c r="N425" s="7"/>
      <c r="O425" s="7"/>
      <c r="P425" s="7" t="s">
        <v>87</v>
      </c>
      <c r="Q425" s="9">
        <v>46094</v>
      </c>
      <c r="R425" s="7" t="s">
        <v>290</v>
      </c>
      <c r="S425" s="10" t="s">
        <v>1914</v>
      </c>
    </row>
    <row r="426" spans="1:19" ht="40.5" x14ac:dyDescent="0.25">
      <c r="A426" s="17" t="s">
        <v>1915</v>
      </c>
      <c r="B426" s="7" t="s">
        <v>1916</v>
      </c>
      <c r="C426" s="7" t="s">
        <v>378</v>
      </c>
      <c r="D426" s="7"/>
      <c r="E426" s="7"/>
      <c r="F426" s="7" t="s">
        <v>289</v>
      </c>
      <c r="G426" s="7" t="s">
        <v>289</v>
      </c>
      <c r="H426" s="8"/>
      <c r="I426" s="7"/>
      <c r="J426" s="7"/>
      <c r="K426" s="7"/>
      <c r="L426" s="8"/>
      <c r="M426" s="8"/>
      <c r="N426" s="7"/>
      <c r="O426" s="7"/>
      <c r="P426" s="7" t="s">
        <v>87</v>
      </c>
      <c r="Q426" s="9">
        <v>46192</v>
      </c>
      <c r="R426" s="7" t="s">
        <v>290</v>
      </c>
      <c r="S426" s="10" t="s">
        <v>1917</v>
      </c>
    </row>
    <row r="427" spans="1:19" ht="81" x14ac:dyDescent="0.25">
      <c r="A427" s="17" t="s">
        <v>1918</v>
      </c>
      <c r="B427" s="7" t="s">
        <v>1919</v>
      </c>
      <c r="C427" s="7" t="s">
        <v>420</v>
      </c>
      <c r="D427" s="7" t="s">
        <v>1920</v>
      </c>
      <c r="E427" s="7" t="s">
        <v>361</v>
      </c>
      <c r="F427" s="7" t="s">
        <v>25</v>
      </c>
      <c r="G427" s="7" t="s">
        <v>25</v>
      </c>
      <c r="H427" s="8">
        <v>1000</v>
      </c>
      <c r="I427" s="7"/>
      <c r="J427" s="7"/>
      <c r="K427" s="7"/>
      <c r="L427" s="8"/>
      <c r="M427" s="8"/>
      <c r="N427" s="7"/>
      <c r="O427" s="7"/>
      <c r="P427" s="7" t="s">
        <v>87</v>
      </c>
      <c r="Q427" s="9">
        <v>46076</v>
      </c>
      <c r="R427" s="7" t="s">
        <v>290</v>
      </c>
      <c r="S427" s="10" t="s">
        <v>1921</v>
      </c>
    </row>
    <row r="428" spans="1:19" ht="27" x14ac:dyDescent="0.25">
      <c r="A428" s="17" t="s">
        <v>1922</v>
      </c>
      <c r="B428" s="7" t="s">
        <v>1923</v>
      </c>
      <c r="C428" s="7" t="s">
        <v>348</v>
      </c>
      <c r="D428" s="7"/>
      <c r="E428" s="7"/>
      <c r="F428" s="7" t="s">
        <v>289</v>
      </c>
      <c r="G428" s="7" t="s">
        <v>289</v>
      </c>
      <c r="H428" s="8"/>
      <c r="I428" s="7"/>
      <c r="J428" s="7"/>
      <c r="K428" s="7"/>
      <c r="L428" s="8"/>
      <c r="M428" s="8"/>
      <c r="N428" s="7"/>
      <c r="O428" s="7"/>
      <c r="P428" s="7" t="s">
        <v>87</v>
      </c>
      <c r="Q428" s="9">
        <v>46220</v>
      </c>
      <c r="R428" s="7" t="s">
        <v>290</v>
      </c>
      <c r="S428" s="10" t="s">
        <v>1924</v>
      </c>
    </row>
    <row r="429" spans="1:19" ht="27" x14ac:dyDescent="0.25">
      <c r="A429" s="17" t="s">
        <v>1925</v>
      </c>
      <c r="B429" s="7" t="s">
        <v>1926</v>
      </c>
      <c r="C429" s="7" t="s">
        <v>348</v>
      </c>
      <c r="D429" s="7"/>
      <c r="E429" s="7"/>
      <c r="F429" s="7" t="s">
        <v>289</v>
      </c>
      <c r="G429" s="7" t="s">
        <v>289</v>
      </c>
      <c r="H429" s="8"/>
      <c r="I429" s="7"/>
      <c r="J429" s="7"/>
      <c r="K429" s="7"/>
      <c r="L429" s="8"/>
      <c r="M429" s="8"/>
      <c r="N429" s="7"/>
      <c r="O429" s="7"/>
      <c r="P429" s="7" t="s">
        <v>87</v>
      </c>
      <c r="Q429" s="9">
        <v>46220</v>
      </c>
      <c r="R429" s="7" t="s">
        <v>290</v>
      </c>
      <c r="S429" s="10" t="s">
        <v>1927</v>
      </c>
    </row>
    <row r="430" spans="1:19" ht="27" x14ac:dyDescent="0.25">
      <c r="A430" s="17" t="s">
        <v>1928</v>
      </c>
      <c r="B430" s="7" t="s">
        <v>1929</v>
      </c>
      <c r="C430" s="7" t="s">
        <v>348</v>
      </c>
      <c r="D430" s="7"/>
      <c r="E430" s="7"/>
      <c r="F430" s="7" t="s">
        <v>289</v>
      </c>
      <c r="G430" s="7" t="s">
        <v>289</v>
      </c>
      <c r="H430" s="8"/>
      <c r="I430" s="7"/>
      <c r="J430" s="7"/>
      <c r="K430" s="7"/>
      <c r="L430" s="8"/>
      <c r="M430" s="8"/>
      <c r="N430" s="7"/>
      <c r="O430" s="7"/>
      <c r="P430" s="7" t="s">
        <v>87</v>
      </c>
      <c r="Q430" s="9">
        <v>46184</v>
      </c>
      <c r="R430" s="7" t="s">
        <v>290</v>
      </c>
      <c r="S430" s="10" t="s">
        <v>1930</v>
      </c>
    </row>
    <row r="431" spans="1:19" ht="27" x14ac:dyDescent="0.25">
      <c r="A431" s="17" t="s">
        <v>1931</v>
      </c>
      <c r="B431" s="7" t="s">
        <v>1932</v>
      </c>
      <c r="C431" s="7" t="s">
        <v>348</v>
      </c>
      <c r="D431" s="7"/>
      <c r="E431" s="7"/>
      <c r="F431" s="7" t="s">
        <v>289</v>
      </c>
      <c r="G431" s="7" t="s">
        <v>289</v>
      </c>
      <c r="H431" s="8"/>
      <c r="I431" s="7"/>
      <c r="J431" s="7"/>
      <c r="K431" s="7"/>
      <c r="L431" s="8"/>
      <c r="M431" s="8"/>
      <c r="N431" s="7"/>
      <c r="O431" s="7"/>
      <c r="P431" s="7" t="s">
        <v>87</v>
      </c>
      <c r="Q431" s="9">
        <v>46184</v>
      </c>
      <c r="R431" s="7" t="s">
        <v>290</v>
      </c>
      <c r="S431" s="10" t="s">
        <v>1933</v>
      </c>
    </row>
    <row r="432" spans="1:19" ht="27" x14ac:dyDescent="0.25">
      <c r="A432" s="17" t="s">
        <v>1934</v>
      </c>
      <c r="B432" s="7" t="s">
        <v>1935</v>
      </c>
      <c r="C432" s="7" t="s">
        <v>348</v>
      </c>
      <c r="D432" s="7"/>
      <c r="E432" s="7"/>
      <c r="F432" s="7" t="s">
        <v>289</v>
      </c>
      <c r="G432" s="7" t="s">
        <v>289</v>
      </c>
      <c r="H432" s="8"/>
      <c r="I432" s="7"/>
      <c r="J432" s="7"/>
      <c r="K432" s="7"/>
      <c r="L432" s="8"/>
      <c r="M432" s="8"/>
      <c r="N432" s="7"/>
      <c r="O432" s="7"/>
      <c r="P432" s="7" t="s">
        <v>87</v>
      </c>
      <c r="Q432" s="9">
        <v>46184</v>
      </c>
      <c r="R432" s="7" t="s">
        <v>290</v>
      </c>
      <c r="S432" s="10" t="s">
        <v>1936</v>
      </c>
    </row>
    <row r="433" spans="1:19" ht="27" x14ac:dyDescent="0.25">
      <c r="A433" s="17" t="s">
        <v>1937</v>
      </c>
      <c r="B433" s="7" t="s">
        <v>1938</v>
      </c>
      <c r="C433" s="7" t="s">
        <v>348</v>
      </c>
      <c r="D433" s="7"/>
      <c r="E433" s="7"/>
      <c r="F433" s="7" t="s">
        <v>289</v>
      </c>
      <c r="G433" s="7" t="s">
        <v>289</v>
      </c>
      <c r="H433" s="8"/>
      <c r="I433" s="7"/>
      <c r="J433" s="7"/>
      <c r="K433" s="7"/>
      <c r="L433" s="8"/>
      <c r="M433" s="8"/>
      <c r="N433" s="7"/>
      <c r="O433" s="7"/>
      <c r="P433" s="7" t="s">
        <v>87</v>
      </c>
      <c r="Q433" s="9">
        <v>46220</v>
      </c>
      <c r="R433" s="7" t="s">
        <v>290</v>
      </c>
      <c r="S433" s="10" t="s">
        <v>1939</v>
      </c>
    </row>
    <row r="434" spans="1:19" ht="27" x14ac:dyDescent="0.25">
      <c r="A434" s="17" t="s">
        <v>1940</v>
      </c>
      <c r="B434" s="7" t="s">
        <v>1941</v>
      </c>
      <c r="C434" s="7" t="s">
        <v>348</v>
      </c>
      <c r="D434" s="7"/>
      <c r="E434" s="7"/>
      <c r="F434" s="7" t="s">
        <v>289</v>
      </c>
      <c r="G434" s="7" t="s">
        <v>289</v>
      </c>
      <c r="H434" s="8"/>
      <c r="I434" s="7"/>
      <c r="J434" s="7"/>
      <c r="K434" s="7"/>
      <c r="L434" s="8"/>
      <c r="M434" s="8"/>
      <c r="N434" s="7"/>
      <c r="O434" s="7"/>
      <c r="P434" s="7" t="s">
        <v>87</v>
      </c>
      <c r="Q434" s="9">
        <v>46220</v>
      </c>
      <c r="R434" s="7" t="s">
        <v>290</v>
      </c>
      <c r="S434" s="10" t="s">
        <v>1942</v>
      </c>
    </row>
    <row r="435" spans="1:19" ht="81" x14ac:dyDescent="0.25">
      <c r="A435" s="17" t="s">
        <v>1943</v>
      </c>
      <c r="B435" s="7" t="s">
        <v>1944</v>
      </c>
      <c r="C435" s="7" t="s">
        <v>342</v>
      </c>
      <c r="D435" s="7" t="s">
        <v>1945</v>
      </c>
      <c r="E435" s="7" t="s">
        <v>1946</v>
      </c>
      <c r="F435" s="7" t="s">
        <v>308</v>
      </c>
      <c r="G435" s="7" t="s">
        <v>308</v>
      </c>
      <c r="H435" s="8">
        <v>1000</v>
      </c>
      <c r="I435" s="7"/>
      <c r="J435" s="7"/>
      <c r="K435" s="7"/>
      <c r="L435" s="8"/>
      <c r="M435" s="8"/>
      <c r="N435" s="7"/>
      <c r="O435" s="7"/>
      <c r="P435" s="7" t="s">
        <v>87</v>
      </c>
      <c r="Q435" s="9">
        <v>46070</v>
      </c>
      <c r="R435" s="7" t="s">
        <v>290</v>
      </c>
      <c r="S435" s="10" t="s">
        <v>1947</v>
      </c>
    </row>
    <row r="436" spans="1:19" ht="67.5" x14ac:dyDescent="0.25">
      <c r="A436" s="17" t="s">
        <v>1948</v>
      </c>
      <c r="B436" s="7" t="s">
        <v>1949</v>
      </c>
      <c r="C436" s="7" t="s">
        <v>348</v>
      </c>
      <c r="D436" s="7" t="s">
        <v>1950</v>
      </c>
      <c r="E436" s="7" t="s">
        <v>355</v>
      </c>
      <c r="F436" s="7" t="s">
        <v>289</v>
      </c>
      <c r="G436" s="7" t="s">
        <v>289</v>
      </c>
      <c r="H436" s="8">
        <v>12</v>
      </c>
      <c r="I436" s="7"/>
      <c r="J436" s="7"/>
      <c r="K436" s="7"/>
      <c r="L436" s="8"/>
      <c r="M436" s="8"/>
      <c r="N436" s="7"/>
      <c r="O436" s="7"/>
      <c r="P436" s="7" t="s">
        <v>87</v>
      </c>
      <c r="Q436" s="9">
        <v>46126</v>
      </c>
      <c r="R436" s="7" t="s">
        <v>290</v>
      </c>
      <c r="S436" s="10" t="s">
        <v>1951</v>
      </c>
    </row>
    <row r="437" spans="1:19" ht="67.5" x14ac:dyDescent="0.25">
      <c r="A437" s="17" t="s">
        <v>1952</v>
      </c>
      <c r="B437" s="7" t="s">
        <v>1953</v>
      </c>
      <c r="C437" s="7" t="s">
        <v>348</v>
      </c>
      <c r="D437" s="7" t="s">
        <v>1954</v>
      </c>
      <c r="E437" s="7" t="s">
        <v>355</v>
      </c>
      <c r="F437" s="7" t="s">
        <v>289</v>
      </c>
      <c r="G437" s="7" t="s">
        <v>289</v>
      </c>
      <c r="H437" s="8">
        <v>12</v>
      </c>
      <c r="I437" s="7"/>
      <c r="J437" s="7"/>
      <c r="K437" s="7"/>
      <c r="L437" s="8"/>
      <c r="M437" s="8"/>
      <c r="N437" s="7"/>
      <c r="O437" s="7"/>
      <c r="P437" s="7" t="s">
        <v>87</v>
      </c>
      <c r="Q437" s="9">
        <v>46126</v>
      </c>
      <c r="R437" s="7" t="s">
        <v>290</v>
      </c>
      <c r="S437" s="10" t="s">
        <v>1955</v>
      </c>
    </row>
    <row r="438" spans="1:19" ht="81" x14ac:dyDescent="0.25">
      <c r="A438" s="17" t="s">
        <v>1956</v>
      </c>
      <c r="B438" s="7" t="s">
        <v>1957</v>
      </c>
      <c r="C438" s="7" t="s">
        <v>1050</v>
      </c>
      <c r="D438" s="7" t="s">
        <v>1958</v>
      </c>
      <c r="E438" s="7" t="s">
        <v>1959</v>
      </c>
      <c r="F438" s="7" t="s">
        <v>289</v>
      </c>
      <c r="G438" s="7" t="s">
        <v>289</v>
      </c>
      <c r="H438" s="8">
        <v>20</v>
      </c>
      <c r="I438" s="7"/>
      <c r="J438" s="7"/>
      <c r="K438" s="7"/>
      <c r="L438" s="8"/>
      <c r="M438" s="8"/>
      <c r="N438" s="7"/>
      <c r="O438" s="7"/>
      <c r="P438" s="7" t="s">
        <v>87</v>
      </c>
      <c r="Q438" s="9">
        <v>46149</v>
      </c>
      <c r="R438" s="7" t="s">
        <v>290</v>
      </c>
      <c r="S438" s="10" t="s">
        <v>1960</v>
      </c>
    </row>
    <row r="439" spans="1:19" ht="81" x14ac:dyDescent="0.25">
      <c r="A439" s="17" t="s">
        <v>1961</v>
      </c>
      <c r="B439" s="7" t="s">
        <v>1962</v>
      </c>
      <c r="C439" s="7" t="s">
        <v>850</v>
      </c>
      <c r="D439" s="7" t="s">
        <v>1963</v>
      </c>
      <c r="E439" s="7" t="s">
        <v>651</v>
      </c>
      <c r="F439" s="7" t="s">
        <v>289</v>
      </c>
      <c r="G439" s="7" t="s">
        <v>289</v>
      </c>
      <c r="H439" s="8">
        <v>30</v>
      </c>
      <c r="I439" s="7"/>
      <c r="J439" s="7"/>
      <c r="K439" s="7"/>
      <c r="L439" s="8"/>
      <c r="M439" s="8"/>
      <c r="N439" s="7"/>
      <c r="O439" s="7"/>
      <c r="P439" s="7" t="s">
        <v>87</v>
      </c>
      <c r="Q439" s="9">
        <v>46106</v>
      </c>
      <c r="R439" s="7" t="s">
        <v>290</v>
      </c>
      <c r="S439" s="10" t="s">
        <v>1964</v>
      </c>
    </row>
    <row r="440" spans="1:19" ht="81" x14ac:dyDescent="0.25">
      <c r="A440" s="17" t="s">
        <v>1965</v>
      </c>
      <c r="B440" s="7" t="s">
        <v>1966</v>
      </c>
      <c r="C440" s="7" t="s">
        <v>500</v>
      </c>
      <c r="D440" s="7" t="s">
        <v>1967</v>
      </c>
      <c r="E440" s="7" t="s">
        <v>361</v>
      </c>
      <c r="F440" s="7" t="s">
        <v>25</v>
      </c>
      <c r="G440" s="7" t="s">
        <v>25</v>
      </c>
      <c r="H440" s="8">
        <v>1000</v>
      </c>
      <c r="I440" s="7"/>
      <c r="J440" s="7"/>
      <c r="K440" s="7"/>
      <c r="L440" s="8"/>
      <c r="M440" s="8"/>
      <c r="N440" s="7"/>
      <c r="O440" s="7"/>
      <c r="P440" s="7" t="s">
        <v>87</v>
      </c>
      <c r="Q440" s="9">
        <v>46126</v>
      </c>
      <c r="R440" s="7" t="s">
        <v>290</v>
      </c>
      <c r="S440" s="10" t="s">
        <v>1968</v>
      </c>
    </row>
    <row r="441" spans="1:19" ht="67.5" x14ac:dyDescent="0.25">
      <c r="A441" s="58" t="s">
        <v>1969</v>
      </c>
      <c r="B441" s="7" t="s">
        <v>1970</v>
      </c>
      <c r="C441" s="7" t="s">
        <v>348</v>
      </c>
      <c r="D441" s="7" t="s">
        <v>1971</v>
      </c>
      <c r="E441" s="7" t="s">
        <v>355</v>
      </c>
      <c r="F441" s="7" t="s">
        <v>289</v>
      </c>
      <c r="G441" s="7" t="s">
        <v>289</v>
      </c>
      <c r="H441" s="8">
        <v>6</v>
      </c>
      <c r="I441" s="7"/>
      <c r="J441" s="7"/>
      <c r="K441" s="7"/>
      <c r="L441" s="8"/>
      <c r="M441" s="8"/>
      <c r="N441" s="7"/>
      <c r="O441" s="7"/>
      <c r="P441" s="7" t="s">
        <v>87</v>
      </c>
      <c r="Q441" s="9">
        <v>46126</v>
      </c>
      <c r="R441" s="7" t="s">
        <v>290</v>
      </c>
      <c r="S441" s="10" t="s">
        <v>1972</v>
      </c>
    </row>
    <row r="442" spans="1:19" ht="81" x14ac:dyDescent="0.25">
      <c r="A442" s="17" t="s">
        <v>1973</v>
      </c>
      <c r="B442" s="7" t="s">
        <v>1974</v>
      </c>
      <c r="C442" s="7" t="s">
        <v>475</v>
      </c>
      <c r="D442" s="7" t="s">
        <v>1975</v>
      </c>
      <c r="E442" s="7" t="s">
        <v>1976</v>
      </c>
      <c r="F442" s="7" t="s">
        <v>25</v>
      </c>
      <c r="G442" s="7" t="s">
        <v>25</v>
      </c>
      <c r="H442" s="8">
        <v>2000</v>
      </c>
      <c r="I442" s="7"/>
      <c r="J442" s="7"/>
      <c r="K442" s="7"/>
      <c r="L442" s="8"/>
      <c r="M442" s="8"/>
      <c r="N442" s="7"/>
      <c r="O442" s="7"/>
      <c r="P442" s="7" t="s">
        <v>87</v>
      </c>
      <c r="Q442" s="9">
        <v>46097</v>
      </c>
      <c r="R442" s="7" t="s">
        <v>290</v>
      </c>
      <c r="S442" s="10" t="s">
        <v>1977</v>
      </c>
    </row>
    <row r="443" spans="1:19" ht="40.5" x14ac:dyDescent="0.25">
      <c r="A443" s="17" t="s">
        <v>1978</v>
      </c>
      <c r="B443" s="7" t="s">
        <v>1979</v>
      </c>
      <c r="C443" s="7" t="s">
        <v>288</v>
      </c>
      <c r="D443" s="7"/>
      <c r="E443" s="7"/>
      <c r="F443" s="7" t="s">
        <v>289</v>
      </c>
      <c r="G443" s="7" t="s">
        <v>289</v>
      </c>
      <c r="H443" s="8"/>
      <c r="I443" s="7"/>
      <c r="J443" s="7"/>
      <c r="K443" s="7"/>
      <c r="L443" s="8"/>
      <c r="M443" s="8"/>
      <c r="N443" s="7"/>
      <c r="O443" s="7"/>
      <c r="P443" s="7" t="s">
        <v>87</v>
      </c>
      <c r="Q443" s="9">
        <v>46143</v>
      </c>
      <c r="R443" s="7" t="s">
        <v>290</v>
      </c>
      <c r="S443" s="10" t="s">
        <v>1980</v>
      </c>
    </row>
    <row r="444" spans="1:19" ht="67.5" x14ac:dyDescent="0.25">
      <c r="A444" s="17" t="s">
        <v>1981</v>
      </c>
      <c r="B444" s="7" t="s">
        <v>1982</v>
      </c>
      <c r="C444" s="7" t="s">
        <v>1248</v>
      </c>
      <c r="D444" s="7" t="s">
        <v>1983</v>
      </c>
      <c r="E444" s="7" t="s">
        <v>1984</v>
      </c>
      <c r="F444" s="7" t="s">
        <v>25</v>
      </c>
      <c r="G444" s="7" t="s">
        <v>24</v>
      </c>
      <c r="H444" s="8">
        <v>1000</v>
      </c>
      <c r="I444" s="7"/>
      <c r="J444" s="7"/>
      <c r="K444" s="7"/>
      <c r="L444" s="8"/>
      <c r="M444" s="8"/>
      <c r="N444" s="7"/>
      <c r="O444" s="7"/>
      <c r="P444" s="7" t="s">
        <v>87</v>
      </c>
      <c r="Q444" s="9">
        <v>46172</v>
      </c>
      <c r="R444" s="7" t="s">
        <v>290</v>
      </c>
      <c r="S444" s="10" t="s">
        <v>1985</v>
      </c>
    </row>
    <row r="445" spans="1:19" ht="27" x14ac:dyDescent="0.25">
      <c r="A445" s="17" t="s">
        <v>1986</v>
      </c>
      <c r="B445" s="7" t="s">
        <v>1987</v>
      </c>
      <c r="C445" s="7" t="s">
        <v>692</v>
      </c>
      <c r="D445" s="7"/>
      <c r="E445" s="7"/>
      <c r="F445" s="7" t="s">
        <v>289</v>
      </c>
      <c r="G445" s="7" t="s">
        <v>289</v>
      </c>
      <c r="H445" s="8"/>
      <c r="I445" s="7"/>
      <c r="J445" s="7"/>
      <c r="K445" s="7"/>
      <c r="L445" s="8"/>
      <c r="M445" s="8"/>
      <c r="N445" s="7"/>
      <c r="O445" s="7"/>
      <c r="P445" s="7" t="s">
        <v>87</v>
      </c>
      <c r="Q445" s="9">
        <v>46165</v>
      </c>
      <c r="R445" s="7" t="s">
        <v>290</v>
      </c>
      <c r="S445" s="10" t="s">
        <v>1988</v>
      </c>
    </row>
    <row r="446" spans="1:19" ht="81" x14ac:dyDescent="0.25">
      <c r="A446" s="17" t="s">
        <v>1989</v>
      </c>
      <c r="B446" s="7" t="s">
        <v>1990</v>
      </c>
      <c r="C446" s="7" t="s">
        <v>327</v>
      </c>
      <c r="D446" s="7" t="s">
        <v>1991</v>
      </c>
      <c r="E446" s="7" t="s">
        <v>1992</v>
      </c>
      <c r="F446" s="7" t="s">
        <v>25</v>
      </c>
      <c r="G446" s="7" t="s">
        <v>25</v>
      </c>
      <c r="H446" s="8">
        <v>240</v>
      </c>
      <c r="I446" s="7"/>
      <c r="J446" s="7"/>
      <c r="K446" s="7"/>
      <c r="L446" s="8"/>
      <c r="M446" s="8"/>
      <c r="N446" s="7"/>
      <c r="O446" s="7"/>
      <c r="P446" s="7" t="s">
        <v>87</v>
      </c>
      <c r="Q446" s="9">
        <v>46097</v>
      </c>
      <c r="R446" s="7" t="s">
        <v>290</v>
      </c>
      <c r="S446" s="10" t="s">
        <v>1993</v>
      </c>
    </row>
    <row r="447" spans="1:19" ht="27" x14ac:dyDescent="0.25">
      <c r="A447" s="17" t="s">
        <v>1994</v>
      </c>
      <c r="B447" s="7" t="s">
        <v>1995</v>
      </c>
      <c r="C447" s="7" t="s">
        <v>487</v>
      </c>
      <c r="D447" s="7"/>
      <c r="E447" s="7"/>
      <c r="F447" s="7" t="s">
        <v>289</v>
      </c>
      <c r="G447" s="7" t="s">
        <v>289</v>
      </c>
      <c r="H447" s="8"/>
      <c r="I447" s="7"/>
      <c r="J447" s="7"/>
      <c r="K447" s="7"/>
      <c r="L447" s="8"/>
      <c r="M447" s="8"/>
      <c r="N447" s="7"/>
      <c r="O447" s="7"/>
      <c r="P447" s="7" t="s">
        <v>87</v>
      </c>
      <c r="Q447" s="9">
        <v>46182</v>
      </c>
      <c r="R447" s="7" t="s">
        <v>290</v>
      </c>
      <c r="S447" s="10" t="s">
        <v>1996</v>
      </c>
    </row>
    <row r="448" spans="1:19" ht="27" x14ac:dyDescent="0.25">
      <c r="A448" s="17" t="s">
        <v>1997</v>
      </c>
      <c r="B448" s="7" t="s">
        <v>1998</v>
      </c>
      <c r="C448" s="7" t="s">
        <v>348</v>
      </c>
      <c r="D448" s="7"/>
      <c r="E448" s="7"/>
      <c r="F448" s="7" t="s">
        <v>289</v>
      </c>
      <c r="G448" s="7" t="s">
        <v>289</v>
      </c>
      <c r="H448" s="8"/>
      <c r="I448" s="7"/>
      <c r="J448" s="7"/>
      <c r="K448" s="7"/>
      <c r="L448" s="8"/>
      <c r="M448" s="8"/>
      <c r="N448" s="7"/>
      <c r="O448" s="7"/>
      <c r="P448" s="7" t="s">
        <v>87</v>
      </c>
      <c r="Q448" s="9">
        <v>46220</v>
      </c>
      <c r="R448" s="7" t="s">
        <v>290</v>
      </c>
      <c r="S448" s="10" t="s">
        <v>1999</v>
      </c>
    </row>
    <row r="449" spans="1:19" ht="27" x14ac:dyDescent="0.25">
      <c r="A449" s="17" t="s">
        <v>2000</v>
      </c>
      <c r="B449" s="7" t="s">
        <v>2001</v>
      </c>
      <c r="C449" s="7" t="s">
        <v>487</v>
      </c>
      <c r="D449" s="7"/>
      <c r="E449" s="7"/>
      <c r="F449" s="7" t="s">
        <v>289</v>
      </c>
      <c r="G449" s="7" t="s">
        <v>289</v>
      </c>
      <c r="H449" s="8"/>
      <c r="I449" s="7"/>
      <c r="J449" s="7"/>
      <c r="K449" s="7"/>
      <c r="L449" s="8"/>
      <c r="M449" s="8"/>
      <c r="N449" s="7"/>
      <c r="O449" s="7"/>
      <c r="P449" s="7" t="s">
        <v>87</v>
      </c>
      <c r="Q449" s="9">
        <v>46182</v>
      </c>
      <c r="R449" s="7" t="s">
        <v>290</v>
      </c>
      <c r="S449" s="10" t="s">
        <v>2002</v>
      </c>
    </row>
    <row r="450" spans="1:19" ht="27" x14ac:dyDescent="0.25">
      <c r="A450" s="17" t="s">
        <v>2003</v>
      </c>
      <c r="B450" s="7" t="s">
        <v>2004</v>
      </c>
      <c r="C450" s="7" t="s">
        <v>491</v>
      </c>
      <c r="D450" s="7"/>
      <c r="E450" s="7"/>
      <c r="F450" s="7" t="s">
        <v>289</v>
      </c>
      <c r="G450" s="7" t="s">
        <v>289</v>
      </c>
      <c r="H450" s="8"/>
      <c r="I450" s="7"/>
      <c r="J450" s="7"/>
      <c r="K450" s="7"/>
      <c r="L450" s="8"/>
      <c r="M450" s="8"/>
      <c r="N450" s="7"/>
      <c r="O450" s="7"/>
      <c r="P450" s="7" t="s">
        <v>87</v>
      </c>
      <c r="Q450" s="9">
        <v>46220</v>
      </c>
      <c r="R450" s="7" t="s">
        <v>290</v>
      </c>
      <c r="S450" s="10" t="s">
        <v>2005</v>
      </c>
    </row>
    <row r="451" spans="1:19" ht="81" x14ac:dyDescent="0.25">
      <c r="A451" s="17" t="s">
        <v>2006</v>
      </c>
      <c r="B451" s="7" t="s">
        <v>2007</v>
      </c>
      <c r="C451" s="7" t="s">
        <v>420</v>
      </c>
      <c r="D451" s="59" t="s">
        <v>2008</v>
      </c>
      <c r="E451" s="7" t="s">
        <v>361</v>
      </c>
      <c r="F451" s="7" t="s">
        <v>25</v>
      </c>
      <c r="G451" s="7" t="s">
        <v>25</v>
      </c>
      <c r="H451" s="8">
        <v>1000</v>
      </c>
      <c r="I451" s="7"/>
      <c r="J451" s="7"/>
      <c r="K451" s="7"/>
      <c r="L451" s="8"/>
      <c r="M451" s="8"/>
      <c r="N451" s="7"/>
      <c r="O451" s="7"/>
      <c r="P451" s="7" t="s">
        <v>87</v>
      </c>
      <c r="Q451" s="9">
        <v>46126</v>
      </c>
      <c r="R451" s="7" t="s">
        <v>290</v>
      </c>
      <c r="S451" s="10" t="s">
        <v>2009</v>
      </c>
    </row>
    <row r="452" spans="1:19" ht="81" x14ac:dyDescent="0.25">
      <c r="A452" s="17" t="s">
        <v>2010</v>
      </c>
      <c r="B452" s="7" t="s">
        <v>2011</v>
      </c>
      <c r="C452" s="7" t="s">
        <v>1364</v>
      </c>
      <c r="D452" s="7" t="s">
        <v>2012</v>
      </c>
      <c r="E452" s="7" t="s">
        <v>433</v>
      </c>
      <c r="F452" s="7" t="s">
        <v>289</v>
      </c>
      <c r="G452" s="7" t="s">
        <v>289</v>
      </c>
      <c r="H452" s="8">
        <v>1</v>
      </c>
      <c r="I452" s="7"/>
      <c r="J452" s="7"/>
      <c r="K452" s="7"/>
      <c r="L452" s="8"/>
      <c r="M452" s="8"/>
      <c r="N452" s="7"/>
      <c r="O452" s="7"/>
      <c r="P452" s="7" t="s">
        <v>87</v>
      </c>
      <c r="Q452" s="9">
        <v>46094</v>
      </c>
      <c r="R452" s="7" t="s">
        <v>290</v>
      </c>
      <c r="S452" s="10" t="s">
        <v>2013</v>
      </c>
    </row>
    <row r="453" spans="1:19" ht="81" x14ac:dyDescent="0.25">
      <c r="A453" s="17" t="s">
        <v>2014</v>
      </c>
      <c r="B453" s="7" t="s">
        <v>2015</v>
      </c>
      <c r="C453" s="7" t="s">
        <v>431</v>
      </c>
      <c r="D453" s="7" t="s">
        <v>2016</v>
      </c>
      <c r="E453" s="7" t="s">
        <v>1366</v>
      </c>
      <c r="F453" s="7" t="s">
        <v>301</v>
      </c>
      <c r="G453" s="7" t="s">
        <v>301</v>
      </c>
      <c r="H453" s="8">
        <v>1</v>
      </c>
      <c r="I453" s="7"/>
      <c r="J453" s="7"/>
      <c r="K453" s="7"/>
      <c r="L453" s="8"/>
      <c r="M453" s="8"/>
      <c r="N453" s="7"/>
      <c r="O453" s="7"/>
      <c r="P453" s="7" t="s">
        <v>87</v>
      </c>
      <c r="Q453" s="9">
        <v>46094</v>
      </c>
      <c r="R453" s="7" t="s">
        <v>290</v>
      </c>
      <c r="S453" s="10" t="s">
        <v>2017</v>
      </c>
    </row>
    <row r="454" spans="1:19" ht="81" x14ac:dyDescent="0.25">
      <c r="A454" s="17" t="s">
        <v>2018</v>
      </c>
      <c r="B454" s="7" t="s">
        <v>2019</v>
      </c>
      <c r="C454" s="7" t="s">
        <v>1248</v>
      </c>
      <c r="D454" s="7" t="s">
        <v>2020</v>
      </c>
      <c r="E454" s="7" t="s">
        <v>2021</v>
      </c>
      <c r="F454" s="7" t="s">
        <v>25</v>
      </c>
      <c r="G454" s="7" t="s">
        <v>25</v>
      </c>
      <c r="H454" s="8">
        <v>4800</v>
      </c>
      <c r="I454" s="7"/>
      <c r="J454" s="7"/>
      <c r="K454" s="7"/>
      <c r="L454" s="8"/>
      <c r="M454" s="8"/>
      <c r="N454" s="7"/>
      <c r="O454" s="7"/>
      <c r="P454" s="7" t="s">
        <v>87</v>
      </c>
      <c r="Q454" s="9">
        <v>46103</v>
      </c>
      <c r="R454" s="7" t="s">
        <v>290</v>
      </c>
      <c r="S454" s="10" t="s">
        <v>2022</v>
      </c>
    </row>
    <row r="455" spans="1:19" ht="81" x14ac:dyDescent="0.25">
      <c r="A455" s="17" t="s">
        <v>2023</v>
      </c>
      <c r="B455" s="7" t="s">
        <v>2024</v>
      </c>
      <c r="C455" s="7" t="s">
        <v>1248</v>
      </c>
      <c r="D455" s="7" t="s">
        <v>2025</v>
      </c>
      <c r="E455" s="7" t="s">
        <v>2026</v>
      </c>
      <c r="F455" s="7" t="s">
        <v>308</v>
      </c>
      <c r="G455" s="7" t="s">
        <v>308</v>
      </c>
      <c r="H455" s="8">
        <v>946</v>
      </c>
      <c r="I455" s="7"/>
      <c r="J455" s="7"/>
      <c r="K455" s="7"/>
      <c r="L455" s="8"/>
      <c r="M455" s="8"/>
      <c r="N455" s="7"/>
      <c r="O455" s="7"/>
      <c r="P455" s="7" t="s">
        <v>87</v>
      </c>
      <c r="Q455" s="9">
        <v>46091</v>
      </c>
      <c r="R455" s="7" t="s">
        <v>290</v>
      </c>
      <c r="S455" s="10" t="s">
        <v>2027</v>
      </c>
    </row>
    <row r="456" spans="1:19" ht="81" x14ac:dyDescent="0.25">
      <c r="A456" s="17" t="s">
        <v>2028</v>
      </c>
      <c r="B456" s="7" t="s">
        <v>2029</v>
      </c>
      <c r="C456" s="7" t="s">
        <v>1248</v>
      </c>
      <c r="D456" s="7" t="s">
        <v>2030</v>
      </c>
      <c r="E456" s="7" t="s">
        <v>2031</v>
      </c>
      <c r="F456" s="7" t="s">
        <v>308</v>
      </c>
      <c r="G456" s="7" t="s">
        <v>308</v>
      </c>
      <c r="H456" s="8">
        <v>1100</v>
      </c>
      <c r="I456" s="7"/>
      <c r="J456" s="7"/>
      <c r="K456" s="7"/>
      <c r="L456" s="8"/>
      <c r="M456" s="8"/>
      <c r="N456" s="7"/>
      <c r="O456" s="7"/>
      <c r="P456" s="7" t="s">
        <v>87</v>
      </c>
      <c r="Q456" s="9">
        <v>46073</v>
      </c>
      <c r="R456" s="7" t="s">
        <v>290</v>
      </c>
      <c r="S456" s="10" t="s">
        <v>2032</v>
      </c>
    </row>
    <row r="457" spans="1:19" ht="81" x14ac:dyDescent="0.25">
      <c r="A457" s="17" t="s">
        <v>2033</v>
      </c>
      <c r="B457" s="7" t="s">
        <v>2034</v>
      </c>
      <c r="C457" s="7" t="s">
        <v>1248</v>
      </c>
      <c r="D457" s="7" t="s">
        <v>2035</v>
      </c>
      <c r="E457" s="7" t="s">
        <v>1206</v>
      </c>
      <c r="F457" s="7" t="s">
        <v>25</v>
      </c>
      <c r="G457" s="7" t="s">
        <v>24</v>
      </c>
      <c r="H457" s="8">
        <v>1</v>
      </c>
      <c r="I457" s="7"/>
      <c r="J457" s="7"/>
      <c r="K457" s="7"/>
      <c r="L457" s="8"/>
      <c r="M457" s="8"/>
      <c r="N457" s="7"/>
      <c r="O457" s="7"/>
      <c r="P457" s="7" t="s">
        <v>87</v>
      </c>
      <c r="Q457" s="9">
        <v>46097</v>
      </c>
      <c r="R457" s="7" t="s">
        <v>290</v>
      </c>
      <c r="S457" s="10" t="s">
        <v>2036</v>
      </c>
    </row>
    <row r="458" spans="1:19" ht="81" x14ac:dyDescent="0.25">
      <c r="A458" s="17" t="s">
        <v>2037</v>
      </c>
      <c r="B458" s="7" t="s">
        <v>2038</v>
      </c>
      <c r="C458" s="7" t="s">
        <v>1248</v>
      </c>
      <c r="D458" s="7" t="s">
        <v>2039</v>
      </c>
      <c r="E458" s="7" t="s">
        <v>2040</v>
      </c>
      <c r="F458" s="7" t="s">
        <v>308</v>
      </c>
      <c r="G458" s="7" t="s">
        <v>308</v>
      </c>
      <c r="H458" s="8">
        <v>1100</v>
      </c>
      <c r="I458" s="7"/>
      <c r="J458" s="7"/>
      <c r="K458" s="7"/>
      <c r="L458" s="8"/>
      <c r="M458" s="8"/>
      <c r="N458" s="7"/>
      <c r="O458" s="7"/>
      <c r="P458" s="7" t="s">
        <v>87</v>
      </c>
      <c r="Q458" s="9">
        <v>46072</v>
      </c>
      <c r="R458" s="7" t="s">
        <v>290</v>
      </c>
      <c r="S458" s="10" t="s">
        <v>2041</v>
      </c>
    </row>
    <row r="459" spans="1:19" ht="81" x14ac:dyDescent="0.25">
      <c r="A459" s="17" t="s">
        <v>2042</v>
      </c>
      <c r="B459" s="7" t="s">
        <v>2043</v>
      </c>
      <c r="C459" s="7" t="s">
        <v>1248</v>
      </c>
      <c r="D459" s="7" t="s">
        <v>2044</v>
      </c>
      <c r="E459" s="7" t="s">
        <v>2045</v>
      </c>
      <c r="F459" s="7" t="s">
        <v>25</v>
      </c>
      <c r="G459" s="7" t="s">
        <v>25</v>
      </c>
      <c r="H459" s="8">
        <v>1200</v>
      </c>
      <c r="I459" s="7"/>
      <c r="J459" s="7"/>
      <c r="K459" s="7"/>
      <c r="L459" s="8"/>
      <c r="M459" s="8"/>
      <c r="N459" s="7"/>
      <c r="O459" s="7"/>
      <c r="P459" s="7" t="s">
        <v>87</v>
      </c>
      <c r="Q459" s="9">
        <v>46149</v>
      </c>
      <c r="R459" s="7" t="s">
        <v>290</v>
      </c>
      <c r="S459" s="10" t="s">
        <v>2046</v>
      </c>
    </row>
    <row r="460" spans="1:19" ht="81" x14ac:dyDescent="0.25">
      <c r="A460" s="17" t="s">
        <v>2047</v>
      </c>
      <c r="B460" s="7" t="s">
        <v>2048</v>
      </c>
      <c r="C460" s="7" t="s">
        <v>1404</v>
      </c>
      <c r="D460" s="7" t="s">
        <v>2049</v>
      </c>
      <c r="E460" s="7" t="s">
        <v>361</v>
      </c>
      <c r="F460" s="7" t="s">
        <v>25</v>
      </c>
      <c r="G460" s="7" t="s">
        <v>25</v>
      </c>
      <c r="H460" s="8">
        <v>1000</v>
      </c>
      <c r="I460" s="7"/>
      <c r="J460" s="7"/>
      <c r="K460" s="7"/>
      <c r="L460" s="8"/>
      <c r="M460" s="8"/>
      <c r="N460" s="7"/>
      <c r="O460" s="7"/>
      <c r="P460" s="7" t="s">
        <v>87</v>
      </c>
      <c r="Q460" s="9">
        <v>46107</v>
      </c>
      <c r="R460" s="7" t="s">
        <v>290</v>
      </c>
      <c r="S460" s="10" t="s">
        <v>2050</v>
      </c>
    </row>
    <row r="461" spans="1:19" ht="81" x14ac:dyDescent="0.25">
      <c r="A461" s="17" t="s">
        <v>2051</v>
      </c>
      <c r="B461" s="7" t="s">
        <v>2052</v>
      </c>
      <c r="C461" s="7" t="s">
        <v>1404</v>
      </c>
      <c r="D461" s="7" t="s">
        <v>2053</v>
      </c>
      <c r="E461" s="7" t="s">
        <v>361</v>
      </c>
      <c r="F461" s="7" t="s">
        <v>25</v>
      </c>
      <c r="G461" s="7" t="s">
        <v>25</v>
      </c>
      <c r="H461" s="8">
        <v>1000</v>
      </c>
      <c r="I461" s="7"/>
      <c r="J461" s="7"/>
      <c r="K461" s="7"/>
      <c r="L461" s="8"/>
      <c r="M461" s="8"/>
      <c r="N461" s="7"/>
      <c r="O461" s="7"/>
      <c r="P461" s="7" t="s">
        <v>87</v>
      </c>
      <c r="Q461" s="9">
        <v>46107</v>
      </c>
      <c r="R461" s="7" t="s">
        <v>290</v>
      </c>
      <c r="S461" s="10" t="s">
        <v>2054</v>
      </c>
    </row>
    <row r="462" spans="1:19" ht="81" x14ac:dyDescent="0.25">
      <c r="A462" s="17" t="s">
        <v>2055</v>
      </c>
      <c r="B462" s="7" t="s">
        <v>2056</v>
      </c>
      <c r="C462" s="7" t="s">
        <v>460</v>
      </c>
      <c r="D462" s="7" t="s">
        <v>2057</v>
      </c>
      <c r="E462" s="7" t="s">
        <v>2058</v>
      </c>
      <c r="F462" s="7" t="s">
        <v>25</v>
      </c>
      <c r="G462" s="7" t="s">
        <v>25</v>
      </c>
      <c r="H462" s="8">
        <v>500</v>
      </c>
      <c r="I462" s="7"/>
      <c r="J462" s="7"/>
      <c r="K462" s="7"/>
      <c r="L462" s="8"/>
      <c r="M462" s="8"/>
      <c r="N462" s="7"/>
      <c r="O462" s="7"/>
      <c r="P462" s="7" t="s">
        <v>87</v>
      </c>
      <c r="Q462" s="9">
        <v>46108</v>
      </c>
      <c r="R462" s="7" t="s">
        <v>290</v>
      </c>
      <c r="S462" s="10" t="s">
        <v>2059</v>
      </c>
    </row>
    <row r="463" spans="1:19" ht="40.5" x14ac:dyDescent="0.25">
      <c r="A463" s="17" t="s">
        <v>2060</v>
      </c>
      <c r="B463" s="7" t="s">
        <v>2061</v>
      </c>
      <c r="C463" s="7" t="s">
        <v>288</v>
      </c>
      <c r="D463" s="7"/>
      <c r="E463" s="7"/>
      <c r="F463" s="7" t="s">
        <v>289</v>
      </c>
      <c r="G463" s="7" t="s">
        <v>289</v>
      </c>
      <c r="H463" s="8"/>
      <c r="I463" s="7"/>
      <c r="J463" s="7"/>
      <c r="K463" s="7"/>
      <c r="L463" s="8"/>
      <c r="M463" s="8"/>
      <c r="N463" s="7"/>
      <c r="O463" s="7"/>
      <c r="P463" s="7" t="s">
        <v>87</v>
      </c>
      <c r="Q463" s="9">
        <v>46143</v>
      </c>
      <c r="R463" s="7" t="s">
        <v>290</v>
      </c>
      <c r="S463" s="10" t="s">
        <v>2062</v>
      </c>
    </row>
    <row r="464" spans="1:19" ht="40.5" x14ac:dyDescent="0.25">
      <c r="A464" s="17" t="s">
        <v>2063</v>
      </c>
      <c r="B464" s="7" t="s">
        <v>2064</v>
      </c>
      <c r="C464" s="7" t="s">
        <v>596</v>
      </c>
      <c r="D464" s="7"/>
      <c r="E464" s="7"/>
      <c r="F464" s="7" t="s">
        <v>289</v>
      </c>
      <c r="G464" s="7" t="s">
        <v>289</v>
      </c>
      <c r="H464" s="8"/>
      <c r="I464" s="7"/>
      <c r="J464" s="7"/>
      <c r="K464" s="7"/>
      <c r="L464" s="8"/>
      <c r="M464" s="8"/>
      <c r="N464" s="7"/>
      <c r="O464" s="7"/>
      <c r="P464" s="7" t="s">
        <v>87</v>
      </c>
      <c r="Q464" s="9">
        <v>46212</v>
      </c>
      <c r="R464" s="7" t="s">
        <v>290</v>
      </c>
      <c r="S464" s="10" t="s">
        <v>2065</v>
      </c>
    </row>
    <row r="465" spans="1:19" ht="40.5" x14ac:dyDescent="0.25">
      <c r="A465" s="17" t="s">
        <v>2066</v>
      </c>
      <c r="B465" s="7" t="s">
        <v>2067</v>
      </c>
      <c r="C465" s="7" t="s">
        <v>378</v>
      </c>
      <c r="D465" s="7"/>
      <c r="E465" s="7"/>
      <c r="F465" s="7" t="s">
        <v>289</v>
      </c>
      <c r="G465" s="7" t="s">
        <v>289</v>
      </c>
      <c r="H465" s="8"/>
      <c r="I465" s="7"/>
      <c r="J465" s="7"/>
      <c r="K465" s="7"/>
      <c r="L465" s="8"/>
      <c r="M465" s="8"/>
      <c r="N465" s="7"/>
      <c r="O465" s="7"/>
      <c r="P465" s="7" t="s">
        <v>87</v>
      </c>
      <c r="Q465" s="9">
        <v>46221</v>
      </c>
      <c r="R465" s="7" t="s">
        <v>290</v>
      </c>
      <c r="S465" s="10" t="s">
        <v>2068</v>
      </c>
    </row>
    <row r="466" spans="1:19" ht="81" x14ac:dyDescent="0.25">
      <c r="A466" s="17" t="s">
        <v>2069</v>
      </c>
      <c r="B466" s="7" t="s">
        <v>2070</v>
      </c>
      <c r="C466" s="7" t="s">
        <v>500</v>
      </c>
      <c r="D466" s="7" t="s">
        <v>2071</v>
      </c>
      <c r="E466" s="7" t="s">
        <v>361</v>
      </c>
      <c r="F466" s="7" t="s">
        <v>25</v>
      </c>
      <c r="G466" s="7" t="s">
        <v>25</v>
      </c>
      <c r="H466" s="8">
        <v>1000</v>
      </c>
      <c r="I466" s="7"/>
      <c r="J466" s="7"/>
      <c r="K466" s="7"/>
      <c r="L466" s="8"/>
      <c r="M466" s="8"/>
      <c r="N466" s="7"/>
      <c r="O466" s="7"/>
      <c r="P466" s="7" t="s">
        <v>87</v>
      </c>
      <c r="Q466" s="9">
        <v>46076</v>
      </c>
      <c r="R466" s="7" t="s">
        <v>290</v>
      </c>
      <c r="S466" s="10" t="s">
        <v>2072</v>
      </c>
    </row>
    <row r="467" spans="1:19" ht="27" x14ac:dyDescent="0.25">
      <c r="A467" s="17" t="s">
        <v>2073</v>
      </c>
      <c r="B467" s="7" t="s">
        <v>2074</v>
      </c>
      <c r="C467" s="7" t="s">
        <v>348</v>
      </c>
      <c r="D467" s="7"/>
      <c r="E467" s="7"/>
      <c r="F467" s="7" t="s">
        <v>289</v>
      </c>
      <c r="G467" s="7" t="s">
        <v>289</v>
      </c>
      <c r="H467" s="8"/>
      <c r="I467" s="7"/>
      <c r="J467" s="7"/>
      <c r="K467" s="7"/>
      <c r="L467" s="8"/>
      <c r="M467" s="8"/>
      <c r="N467" s="7"/>
      <c r="O467" s="7"/>
      <c r="P467" s="7" t="s">
        <v>87</v>
      </c>
      <c r="Q467" s="9">
        <v>46184</v>
      </c>
      <c r="R467" s="7" t="s">
        <v>290</v>
      </c>
      <c r="S467" s="10" t="s">
        <v>2075</v>
      </c>
    </row>
    <row r="468" spans="1:19" ht="27" x14ac:dyDescent="0.25">
      <c r="A468" s="17" t="s">
        <v>2076</v>
      </c>
      <c r="B468" s="7" t="s">
        <v>2077</v>
      </c>
      <c r="C468" s="7" t="s">
        <v>348</v>
      </c>
      <c r="D468" s="7"/>
      <c r="E468" s="7"/>
      <c r="F468" s="7" t="s">
        <v>289</v>
      </c>
      <c r="G468" s="7" t="s">
        <v>289</v>
      </c>
      <c r="H468" s="8"/>
      <c r="I468" s="7"/>
      <c r="J468" s="7"/>
      <c r="K468" s="7"/>
      <c r="L468" s="8"/>
      <c r="M468" s="8"/>
      <c r="N468" s="7"/>
      <c r="O468" s="7"/>
      <c r="P468" s="7" t="s">
        <v>87</v>
      </c>
      <c r="Q468" s="9">
        <v>46184</v>
      </c>
      <c r="R468" s="7" t="s">
        <v>290</v>
      </c>
      <c r="S468" s="10" t="s">
        <v>2078</v>
      </c>
    </row>
    <row r="469" spans="1:19" ht="27" x14ac:dyDescent="0.25">
      <c r="A469" s="17" t="s">
        <v>2079</v>
      </c>
      <c r="B469" s="7" t="s">
        <v>2080</v>
      </c>
      <c r="C469" s="7" t="s">
        <v>348</v>
      </c>
      <c r="D469" s="7"/>
      <c r="E469" s="7"/>
      <c r="F469" s="7" t="s">
        <v>289</v>
      </c>
      <c r="G469" s="7" t="s">
        <v>289</v>
      </c>
      <c r="H469" s="8"/>
      <c r="I469" s="7"/>
      <c r="J469" s="7"/>
      <c r="K469" s="7"/>
      <c r="L469" s="8"/>
      <c r="M469" s="8"/>
      <c r="N469" s="7"/>
      <c r="O469" s="7"/>
      <c r="P469" s="7" t="s">
        <v>87</v>
      </c>
      <c r="Q469" s="9">
        <v>46184</v>
      </c>
      <c r="R469" s="7" t="s">
        <v>290</v>
      </c>
      <c r="S469" s="10" t="s">
        <v>2081</v>
      </c>
    </row>
    <row r="470" spans="1:19" ht="27" x14ac:dyDescent="0.25">
      <c r="A470" s="17" t="s">
        <v>2082</v>
      </c>
      <c r="B470" s="7" t="s">
        <v>2083</v>
      </c>
      <c r="C470" s="7" t="s">
        <v>348</v>
      </c>
      <c r="D470" s="7"/>
      <c r="E470" s="7"/>
      <c r="F470" s="7" t="s">
        <v>289</v>
      </c>
      <c r="G470" s="7" t="s">
        <v>289</v>
      </c>
      <c r="H470" s="8"/>
      <c r="I470" s="7"/>
      <c r="J470" s="7"/>
      <c r="K470" s="7"/>
      <c r="L470" s="8"/>
      <c r="M470" s="8"/>
      <c r="N470" s="7"/>
      <c r="O470" s="7"/>
      <c r="P470" s="7" t="s">
        <v>87</v>
      </c>
      <c r="Q470" s="9">
        <v>46184</v>
      </c>
      <c r="R470" s="7" t="s">
        <v>290</v>
      </c>
      <c r="S470" s="10" t="s">
        <v>2084</v>
      </c>
    </row>
    <row r="471" spans="1:19" ht="27" x14ac:dyDescent="0.25">
      <c r="A471" s="17" t="s">
        <v>2085</v>
      </c>
      <c r="B471" s="7" t="s">
        <v>2086</v>
      </c>
      <c r="C471" s="7" t="s">
        <v>348</v>
      </c>
      <c r="D471" s="7"/>
      <c r="E471" s="7"/>
      <c r="F471" s="7" t="s">
        <v>289</v>
      </c>
      <c r="G471" s="7" t="s">
        <v>289</v>
      </c>
      <c r="H471" s="8"/>
      <c r="I471" s="7"/>
      <c r="J471" s="7"/>
      <c r="K471" s="7"/>
      <c r="L471" s="8"/>
      <c r="M471" s="8"/>
      <c r="N471" s="7"/>
      <c r="O471" s="7"/>
      <c r="P471" s="7" t="s">
        <v>87</v>
      </c>
      <c r="Q471" s="9">
        <v>46184</v>
      </c>
      <c r="R471" s="7" t="s">
        <v>290</v>
      </c>
      <c r="S471" s="10" t="s">
        <v>2087</v>
      </c>
    </row>
    <row r="472" spans="1:19" ht="81" x14ac:dyDescent="0.25">
      <c r="A472" s="17" t="s">
        <v>2088</v>
      </c>
      <c r="B472" s="7" t="s">
        <v>2089</v>
      </c>
      <c r="C472" s="7" t="s">
        <v>431</v>
      </c>
      <c r="D472" s="7" t="s">
        <v>2090</v>
      </c>
      <c r="E472" s="7" t="s">
        <v>1946</v>
      </c>
      <c r="F472" s="7" t="s">
        <v>308</v>
      </c>
      <c r="G472" s="7" t="s">
        <v>308</v>
      </c>
      <c r="H472" s="8">
        <v>1000</v>
      </c>
      <c r="I472" s="7"/>
      <c r="J472" s="7"/>
      <c r="K472" s="7"/>
      <c r="L472" s="8"/>
      <c r="M472" s="8"/>
      <c r="N472" s="7"/>
      <c r="O472" s="7"/>
      <c r="P472" s="7" t="s">
        <v>87</v>
      </c>
      <c r="Q472" s="9">
        <v>46126</v>
      </c>
      <c r="R472" s="7" t="s">
        <v>290</v>
      </c>
      <c r="S472" s="10" t="s">
        <v>2091</v>
      </c>
    </row>
    <row r="473" spans="1:19" ht="81" x14ac:dyDescent="0.25">
      <c r="A473" s="17" t="s">
        <v>2092</v>
      </c>
      <c r="B473" s="7" t="s">
        <v>2093</v>
      </c>
      <c r="C473" s="7" t="s">
        <v>431</v>
      </c>
      <c r="D473" s="7" t="s">
        <v>2094</v>
      </c>
      <c r="E473" s="7" t="s">
        <v>433</v>
      </c>
      <c r="F473" s="7" t="s">
        <v>289</v>
      </c>
      <c r="G473" s="7" t="s">
        <v>289</v>
      </c>
      <c r="H473" s="8">
        <v>1</v>
      </c>
      <c r="I473" s="7"/>
      <c r="J473" s="7"/>
      <c r="K473" s="7"/>
      <c r="L473" s="8"/>
      <c r="M473" s="8"/>
      <c r="N473" s="7"/>
      <c r="O473" s="7"/>
      <c r="P473" s="7" t="s">
        <v>87</v>
      </c>
      <c r="Q473" s="9">
        <v>46094</v>
      </c>
      <c r="R473" s="7" t="s">
        <v>290</v>
      </c>
      <c r="S473" s="10" t="s">
        <v>2095</v>
      </c>
    </row>
    <row r="474" spans="1:19" ht="27" x14ac:dyDescent="0.25">
      <c r="A474" s="17" t="s">
        <v>2096</v>
      </c>
      <c r="B474" s="7" t="s">
        <v>2097</v>
      </c>
      <c r="C474" s="7" t="s">
        <v>701</v>
      </c>
      <c r="D474" s="7"/>
      <c r="E474" s="7"/>
      <c r="F474" s="7" t="s">
        <v>289</v>
      </c>
      <c r="G474" s="7" t="s">
        <v>289</v>
      </c>
      <c r="H474" s="8"/>
      <c r="I474" s="7"/>
      <c r="J474" s="7"/>
      <c r="K474" s="7"/>
      <c r="L474" s="8"/>
      <c r="M474" s="8"/>
      <c r="N474" s="7"/>
      <c r="O474" s="7"/>
      <c r="P474" s="7" t="s">
        <v>87</v>
      </c>
      <c r="Q474" s="9">
        <v>46185</v>
      </c>
      <c r="R474" s="7" t="s">
        <v>290</v>
      </c>
      <c r="S474" s="10" t="s">
        <v>2098</v>
      </c>
    </row>
    <row r="475" spans="1:19" ht="81" x14ac:dyDescent="0.25">
      <c r="A475" s="17" t="s">
        <v>2099</v>
      </c>
      <c r="B475" s="7" t="s">
        <v>2100</v>
      </c>
      <c r="C475" s="7" t="s">
        <v>1040</v>
      </c>
      <c r="D475" s="7" t="s">
        <v>2101</v>
      </c>
      <c r="E475" s="7" t="s">
        <v>523</v>
      </c>
      <c r="F475" s="7" t="s">
        <v>25</v>
      </c>
      <c r="G475" s="7" t="s">
        <v>25</v>
      </c>
      <c r="H475" s="8">
        <v>500</v>
      </c>
      <c r="I475" s="7"/>
      <c r="J475" s="7"/>
      <c r="K475" s="7"/>
      <c r="L475" s="8"/>
      <c r="M475" s="8"/>
      <c r="N475" s="7"/>
      <c r="O475" s="7"/>
      <c r="P475" s="7" t="s">
        <v>87</v>
      </c>
      <c r="Q475" s="9">
        <v>46097</v>
      </c>
      <c r="R475" s="7" t="s">
        <v>290</v>
      </c>
      <c r="S475" s="10" t="s">
        <v>2102</v>
      </c>
    </row>
    <row r="476" spans="1:19" ht="81" x14ac:dyDescent="0.25">
      <c r="A476" s="17" t="s">
        <v>2103</v>
      </c>
      <c r="B476" s="7" t="s">
        <v>2104</v>
      </c>
      <c r="C476" s="7" t="s">
        <v>411</v>
      </c>
      <c r="D476" s="7" t="s">
        <v>2105</v>
      </c>
      <c r="E476" s="7" t="s">
        <v>361</v>
      </c>
      <c r="F476" s="7" t="s">
        <v>25</v>
      </c>
      <c r="G476" s="7" t="s">
        <v>25</v>
      </c>
      <c r="H476" s="8">
        <v>1000</v>
      </c>
      <c r="I476" s="7"/>
      <c r="J476" s="7"/>
      <c r="K476" s="7"/>
      <c r="L476" s="8"/>
      <c r="M476" s="8"/>
      <c r="N476" s="7"/>
      <c r="O476" s="7"/>
      <c r="P476" s="7" t="s">
        <v>87</v>
      </c>
      <c r="Q476" s="9">
        <v>46172</v>
      </c>
      <c r="R476" s="7" t="s">
        <v>290</v>
      </c>
      <c r="S476" s="10" t="s">
        <v>2106</v>
      </c>
    </row>
    <row r="477" spans="1:19" ht="54" x14ac:dyDescent="0.25">
      <c r="A477" s="17" t="s">
        <v>2107</v>
      </c>
      <c r="B477" s="7" t="s">
        <v>2108</v>
      </c>
      <c r="C477" s="7" t="s">
        <v>437</v>
      </c>
      <c r="D477" s="7" t="s">
        <v>2109</v>
      </c>
      <c r="E477" s="7" t="s">
        <v>439</v>
      </c>
      <c r="F477" s="7" t="s">
        <v>289</v>
      </c>
      <c r="G477" s="7" t="s">
        <v>289</v>
      </c>
      <c r="H477" s="8">
        <v>1</v>
      </c>
      <c r="I477" s="7"/>
      <c r="J477" s="7"/>
      <c r="K477" s="7"/>
      <c r="L477" s="8"/>
      <c r="M477" s="8"/>
      <c r="N477" s="7"/>
      <c r="O477" s="7"/>
      <c r="P477" s="7" t="s">
        <v>87</v>
      </c>
      <c r="Q477" s="9">
        <v>46105</v>
      </c>
      <c r="R477" s="7" t="s">
        <v>290</v>
      </c>
      <c r="S477" s="10" t="s">
        <v>2110</v>
      </c>
    </row>
    <row r="478" spans="1:19" ht="27" x14ac:dyDescent="0.25">
      <c r="A478" s="17" t="s">
        <v>2111</v>
      </c>
      <c r="B478" s="7" t="s">
        <v>2112</v>
      </c>
      <c r="C478" s="7" t="s">
        <v>491</v>
      </c>
      <c r="D478" s="7"/>
      <c r="E478" s="7"/>
      <c r="F478" s="7" t="s">
        <v>289</v>
      </c>
      <c r="G478" s="7" t="s">
        <v>289</v>
      </c>
      <c r="H478" s="8"/>
      <c r="I478" s="7"/>
      <c r="J478" s="7"/>
      <c r="K478" s="7"/>
      <c r="L478" s="8"/>
      <c r="M478" s="8"/>
      <c r="N478" s="7"/>
      <c r="O478" s="7"/>
      <c r="P478" s="7" t="s">
        <v>87</v>
      </c>
      <c r="Q478" s="9">
        <v>46197</v>
      </c>
      <c r="R478" s="7" t="s">
        <v>290</v>
      </c>
      <c r="S478" s="10" t="s">
        <v>2113</v>
      </c>
    </row>
    <row r="479" spans="1:19" ht="27" x14ac:dyDescent="0.25">
      <c r="A479" s="17" t="s">
        <v>2114</v>
      </c>
      <c r="B479" s="7" t="s">
        <v>2115</v>
      </c>
      <c r="C479" s="7" t="s">
        <v>487</v>
      </c>
      <c r="D479" s="7"/>
      <c r="E479" s="7"/>
      <c r="F479" s="7" t="s">
        <v>289</v>
      </c>
      <c r="G479" s="7" t="s">
        <v>289</v>
      </c>
      <c r="H479" s="8"/>
      <c r="I479" s="7"/>
      <c r="J479" s="7"/>
      <c r="K479" s="7"/>
      <c r="L479" s="8"/>
      <c r="M479" s="8"/>
      <c r="N479" s="7"/>
      <c r="O479" s="7"/>
      <c r="P479" s="7" t="s">
        <v>87</v>
      </c>
      <c r="Q479" s="9">
        <v>46182</v>
      </c>
      <c r="R479" s="7" t="s">
        <v>290</v>
      </c>
      <c r="S479" s="10" t="s">
        <v>2116</v>
      </c>
    </row>
    <row r="480" spans="1:19" ht="81" x14ac:dyDescent="0.25">
      <c r="A480" s="17" t="s">
        <v>2117</v>
      </c>
      <c r="B480" s="7" t="s">
        <v>2118</v>
      </c>
      <c r="C480" s="7" t="s">
        <v>388</v>
      </c>
      <c r="D480" s="7" t="s">
        <v>2119</v>
      </c>
      <c r="E480" s="7" t="s">
        <v>2120</v>
      </c>
      <c r="F480" s="7" t="s">
        <v>289</v>
      </c>
      <c r="G480" s="7" t="s">
        <v>289</v>
      </c>
      <c r="H480" s="8">
        <v>10</v>
      </c>
      <c r="I480" s="7"/>
      <c r="J480" s="7"/>
      <c r="K480" s="7"/>
      <c r="L480" s="8"/>
      <c r="M480" s="8"/>
      <c r="N480" s="7"/>
      <c r="O480" s="7"/>
      <c r="P480" s="7" t="s">
        <v>87</v>
      </c>
      <c r="Q480" s="9">
        <v>46079</v>
      </c>
      <c r="R480" s="7" t="s">
        <v>290</v>
      </c>
      <c r="S480" s="10" t="s">
        <v>2121</v>
      </c>
    </row>
    <row r="481" spans="1:19" ht="81" x14ac:dyDescent="0.25">
      <c r="A481" s="17" t="s">
        <v>2122</v>
      </c>
      <c r="B481" s="7" t="s">
        <v>2123</v>
      </c>
      <c r="C481" s="7" t="s">
        <v>455</v>
      </c>
      <c r="D481" s="7" t="s">
        <v>2124</v>
      </c>
      <c r="E481" s="7" t="s">
        <v>361</v>
      </c>
      <c r="F481" s="7" t="s">
        <v>24</v>
      </c>
      <c r="G481" s="7" t="s">
        <v>24</v>
      </c>
      <c r="H481" s="8">
        <v>1</v>
      </c>
      <c r="I481" s="7"/>
      <c r="J481" s="7"/>
      <c r="K481" s="7"/>
      <c r="L481" s="8"/>
      <c r="M481" s="8"/>
      <c r="N481" s="7"/>
      <c r="O481" s="7"/>
      <c r="P481" s="7" t="s">
        <v>87</v>
      </c>
      <c r="Q481" s="9">
        <v>46106</v>
      </c>
      <c r="R481" s="7" t="s">
        <v>290</v>
      </c>
      <c r="S481" s="10" t="s">
        <v>2125</v>
      </c>
    </row>
    <row r="482" spans="1:19" ht="27" x14ac:dyDescent="0.25">
      <c r="A482" s="17" t="s">
        <v>2126</v>
      </c>
      <c r="B482" s="7" t="s">
        <v>2127</v>
      </c>
      <c r="C482" s="7" t="s">
        <v>338</v>
      </c>
      <c r="D482" s="7"/>
      <c r="E482" s="7"/>
      <c r="F482" s="7" t="s">
        <v>289</v>
      </c>
      <c r="G482" s="7" t="s">
        <v>289</v>
      </c>
      <c r="H482" s="8"/>
      <c r="I482" s="7"/>
      <c r="J482" s="7"/>
      <c r="K482" s="7"/>
      <c r="L482" s="8"/>
      <c r="M482" s="8"/>
      <c r="N482" s="7"/>
      <c r="O482" s="7"/>
      <c r="P482" s="7" t="s">
        <v>87</v>
      </c>
      <c r="Q482" s="9">
        <v>46185</v>
      </c>
      <c r="R482" s="7" t="s">
        <v>290</v>
      </c>
      <c r="S482" s="10" t="s">
        <v>2128</v>
      </c>
    </row>
    <row r="483" spans="1:19" ht="27" x14ac:dyDescent="0.25">
      <c r="A483" s="17" t="s">
        <v>2129</v>
      </c>
      <c r="B483" s="7" t="s">
        <v>2130</v>
      </c>
      <c r="C483" s="7" t="s">
        <v>338</v>
      </c>
      <c r="D483" s="7"/>
      <c r="E483" s="7"/>
      <c r="F483" s="7" t="s">
        <v>289</v>
      </c>
      <c r="G483" s="7" t="s">
        <v>289</v>
      </c>
      <c r="H483" s="8"/>
      <c r="I483" s="7"/>
      <c r="J483" s="7"/>
      <c r="K483" s="7"/>
      <c r="L483" s="8"/>
      <c r="M483" s="8"/>
      <c r="N483" s="7"/>
      <c r="O483" s="7"/>
      <c r="P483" s="7" t="s">
        <v>87</v>
      </c>
      <c r="Q483" s="9">
        <v>46185</v>
      </c>
      <c r="R483" s="7" t="s">
        <v>290</v>
      </c>
      <c r="S483" s="10" t="s">
        <v>2131</v>
      </c>
    </row>
    <row r="484" spans="1:19" ht="27" x14ac:dyDescent="0.25">
      <c r="A484" s="17" t="s">
        <v>2132</v>
      </c>
      <c r="B484" s="7" t="s">
        <v>2133</v>
      </c>
      <c r="C484" s="7" t="s">
        <v>338</v>
      </c>
      <c r="D484" s="7"/>
      <c r="E484" s="7"/>
      <c r="F484" s="7" t="s">
        <v>289</v>
      </c>
      <c r="G484" s="7" t="s">
        <v>289</v>
      </c>
      <c r="H484" s="8"/>
      <c r="I484" s="7"/>
      <c r="J484" s="7"/>
      <c r="K484" s="7"/>
      <c r="L484" s="8"/>
      <c r="M484" s="8"/>
      <c r="N484" s="7"/>
      <c r="O484" s="7"/>
      <c r="P484" s="7" t="s">
        <v>87</v>
      </c>
      <c r="Q484" s="9">
        <v>46185</v>
      </c>
      <c r="R484" s="7" t="s">
        <v>290</v>
      </c>
      <c r="S484" s="10" t="s">
        <v>2134</v>
      </c>
    </row>
    <row r="485" spans="1:19" ht="27" x14ac:dyDescent="0.25">
      <c r="A485" s="17" t="s">
        <v>2135</v>
      </c>
      <c r="B485" s="7" t="s">
        <v>2136</v>
      </c>
      <c r="C485" s="7" t="s">
        <v>338</v>
      </c>
      <c r="D485" s="7"/>
      <c r="E485" s="7"/>
      <c r="F485" s="7" t="s">
        <v>289</v>
      </c>
      <c r="G485" s="7" t="s">
        <v>289</v>
      </c>
      <c r="H485" s="8"/>
      <c r="I485" s="7"/>
      <c r="J485" s="7"/>
      <c r="K485" s="7"/>
      <c r="L485" s="8"/>
      <c r="M485" s="8"/>
      <c r="N485" s="7"/>
      <c r="O485" s="7"/>
      <c r="P485" s="7" t="s">
        <v>87</v>
      </c>
      <c r="Q485" s="9">
        <v>46185</v>
      </c>
      <c r="R485" s="7" t="s">
        <v>290</v>
      </c>
      <c r="S485" s="10" t="s">
        <v>2137</v>
      </c>
    </row>
    <row r="486" spans="1:19" ht="27" x14ac:dyDescent="0.25">
      <c r="A486" s="17" t="s">
        <v>2138</v>
      </c>
      <c r="B486" s="7" t="s">
        <v>2139</v>
      </c>
      <c r="C486" s="7" t="s">
        <v>338</v>
      </c>
      <c r="D486" s="7"/>
      <c r="E486" s="7"/>
      <c r="F486" s="7" t="s">
        <v>289</v>
      </c>
      <c r="G486" s="7" t="s">
        <v>289</v>
      </c>
      <c r="H486" s="8"/>
      <c r="I486" s="7"/>
      <c r="J486" s="7"/>
      <c r="K486" s="7"/>
      <c r="L486" s="8"/>
      <c r="M486" s="8"/>
      <c r="N486" s="7"/>
      <c r="O486" s="7"/>
      <c r="P486" s="7" t="s">
        <v>87</v>
      </c>
      <c r="Q486" s="9">
        <v>46185</v>
      </c>
      <c r="R486" s="7" t="s">
        <v>290</v>
      </c>
      <c r="S486" s="10" t="s">
        <v>2140</v>
      </c>
    </row>
    <row r="487" spans="1:19" ht="81" x14ac:dyDescent="0.25">
      <c r="A487" s="17" t="s">
        <v>2141</v>
      </c>
      <c r="B487" s="7" t="s">
        <v>2142</v>
      </c>
      <c r="C487" s="7" t="s">
        <v>460</v>
      </c>
      <c r="D487" s="7" t="s">
        <v>2143</v>
      </c>
      <c r="E487" s="7" t="s">
        <v>361</v>
      </c>
      <c r="F487" s="7" t="s">
        <v>25</v>
      </c>
      <c r="G487" s="7" t="s">
        <v>25</v>
      </c>
      <c r="H487" s="8">
        <v>1000</v>
      </c>
      <c r="I487" s="7"/>
      <c r="J487" s="7"/>
      <c r="K487" s="7"/>
      <c r="L487" s="8"/>
      <c r="M487" s="8"/>
      <c r="N487" s="7"/>
      <c r="O487" s="7"/>
      <c r="P487" s="7" t="s">
        <v>87</v>
      </c>
      <c r="Q487" s="9">
        <v>46172</v>
      </c>
      <c r="R487" s="7" t="s">
        <v>290</v>
      </c>
      <c r="S487" s="10" t="s">
        <v>2144</v>
      </c>
    </row>
    <row r="488" spans="1:19" ht="81" x14ac:dyDescent="0.25">
      <c r="A488" s="17" t="s">
        <v>2145</v>
      </c>
      <c r="B488" s="7" t="s">
        <v>2146</v>
      </c>
      <c r="C488" s="7" t="s">
        <v>500</v>
      </c>
      <c r="D488" s="7" t="s">
        <v>2147</v>
      </c>
      <c r="E488" s="7" t="s">
        <v>361</v>
      </c>
      <c r="F488" s="7" t="s">
        <v>25</v>
      </c>
      <c r="G488" s="7" t="s">
        <v>25</v>
      </c>
      <c r="H488" s="8">
        <v>1000</v>
      </c>
      <c r="I488" s="7"/>
      <c r="J488" s="7"/>
      <c r="K488" s="7"/>
      <c r="L488" s="8"/>
      <c r="M488" s="8"/>
      <c r="N488" s="7"/>
      <c r="O488" s="7"/>
      <c r="P488" s="7" t="s">
        <v>87</v>
      </c>
      <c r="Q488" s="9">
        <v>46076</v>
      </c>
      <c r="R488" s="7" t="s">
        <v>290</v>
      </c>
      <c r="S488" s="10" t="s">
        <v>2148</v>
      </c>
    </row>
    <row r="489" spans="1:19" ht="81" x14ac:dyDescent="0.25">
      <c r="A489" s="17" t="s">
        <v>2149</v>
      </c>
      <c r="B489" s="7" t="s">
        <v>2150</v>
      </c>
      <c r="C489" s="7" t="s">
        <v>411</v>
      </c>
      <c r="D489" s="7" t="s">
        <v>2151</v>
      </c>
      <c r="E489" s="7" t="s">
        <v>361</v>
      </c>
      <c r="F489" s="7" t="s">
        <v>25</v>
      </c>
      <c r="G489" s="7" t="s">
        <v>25</v>
      </c>
      <c r="H489" s="8">
        <v>1000</v>
      </c>
      <c r="I489" s="7"/>
      <c r="J489" s="7"/>
      <c r="K489" s="7"/>
      <c r="L489" s="8"/>
      <c r="M489" s="8"/>
      <c r="N489" s="7"/>
      <c r="O489" s="7"/>
      <c r="P489" s="7" t="s">
        <v>87</v>
      </c>
      <c r="Q489" s="9">
        <v>46097</v>
      </c>
      <c r="R489" s="7" t="s">
        <v>290</v>
      </c>
      <c r="S489" s="10" t="s">
        <v>2152</v>
      </c>
    </row>
    <row r="490" spans="1:19" ht="81" x14ac:dyDescent="0.25">
      <c r="A490" s="17" t="s">
        <v>2153</v>
      </c>
      <c r="B490" s="7" t="s">
        <v>2154</v>
      </c>
      <c r="C490" s="7" t="s">
        <v>850</v>
      </c>
      <c r="D490" s="7" t="s">
        <v>2155</v>
      </c>
      <c r="E490" s="7" t="s">
        <v>612</v>
      </c>
      <c r="F490" s="7" t="s">
        <v>289</v>
      </c>
      <c r="G490" s="7" t="s">
        <v>289</v>
      </c>
      <c r="H490" s="8">
        <v>100</v>
      </c>
      <c r="I490" s="7"/>
      <c r="J490" s="7"/>
      <c r="K490" s="7"/>
      <c r="L490" s="8"/>
      <c r="M490" s="8"/>
      <c r="N490" s="7"/>
      <c r="O490" s="7"/>
      <c r="P490" s="7" t="s">
        <v>87</v>
      </c>
      <c r="Q490" s="9">
        <v>46210</v>
      </c>
      <c r="R490" s="7" t="s">
        <v>290</v>
      </c>
      <c r="S490" s="10" t="s">
        <v>2156</v>
      </c>
    </row>
    <row r="491" spans="1:19" ht="81" x14ac:dyDescent="0.25">
      <c r="A491" s="58" t="s">
        <v>2157</v>
      </c>
      <c r="B491" s="7" t="s">
        <v>2158</v>
      </c>
      <c r="C491" s="7" t="s">
        <v>850</v>
      </c>
      <c r="D491" s="7" t="s">
        <v>2159</v>
      </c>
      <c r="E491" s="7" t="s">
        <v>612</v>
      </c>
      <c r="F491" s="7" t="s">
        <v>289</v>
      </c>
      <c r="G491" s="7" t="s">
        <v>289</v>
      </c>
      <c r="H491" s="8">
        <v>100</v>
      </c>
      <c r="I491" s="7"/>
      <c r="J491" s="7"/>
      <c r="K491" s="7"/>
      <c r="L491" s="8"/>
      <c r="M491" s="8"/>
      <c r="N491" s="7"/>
      <c r="O491" s="7"/>
      <c r="P491" s="7" t="s">
        <v>87</v>
      </c>
      <c r="Q491" s="9">
        <v>46210</v>
      </c>
      <c r="R491" s="7" t="s">
        <v>290</v>
      </c>
      <c r="S491" s="10" t="s">
        <v>2160</v>
      </c>
    </row>
    <row r="492" spans="1:19" ht="81" x14ac:dyDescent="0.25">
      <c r="A492" s="17" t="s">
        <v>2161</v>
      </c>
      <c r="B492" s="7" t="s">
        <v>2162</v>
      </c>
      <c r="C492" s="7" t="s">
        <v>850</v>
      </c>
      <c r="D492" s="7" t="s">
        <v>2163</v>
      </c>
      <c r="E492" s="7" t="s">
        <v>612</v>
      </c>
      <c r="F492" s="7" t="s">
        <v>289</v>
      </c>
      <c r="G492" s="7" t="s">
        <v>289</v>
      </c>
      <c r="H492" s="8">
        <v>100</v>
      </c>
      <c r="I492" s="7"/>
      <c r="J492" s="7"/>
      <c r="K492" s="7"/>
      <c r="L492" s="8"/>
      <c r="M492" s="8"/>
      <c r="N492" s="7"/>
      <c r="O492" s="7"/>
      <c r="P492" s="7" t="s">
        <v>87</v>
      </c>
      <c r="Q492" s="9">
        <v>46210</v>
      </c>
      <c r="R492" s="7" t="s">
        <v>290</v>
      </c>
      <c r="S492" s="10" t="s">
        <v>2164</v>
      </c>
    </row>
    <row r="493" spans="1:19" ht="81" x14ac:dyDescent="0.25">
      <c r="A493" s="17" t="s">
        <v>2165</v>
      </c>
      <c r="B493" s="7" t="s">
        <v>2166</v>
      </c>
      <c r="C493" s="7" t="s">
        <v>305</v>
      </c>
      <c r="D493" s="7" t="s">
        <v>2167</v>
      </c>
      <c r="E493" s="7" t="s">
        <v>1206</v>
      </c>
      <c r="F493" s="7" t="s">
        <v>25</v>
      </c>
      <c r="G493" s="7" t="s">
        <v>25</v>
      </c>
      <c r="H493" s="8">
        <v>1000</v>
      </c>
      <c r="I493" s="7"/>
      <c r="J493" s="7"/>
      <c r="K493" s="7"/>
      <c r="L493" s="8"/>
      <c r="M493" s="8"/>
      <c r="N493" s="7"/>
      <c r="O493" s="7"/>
      <c r="P493" s="7" t="s">
        <v>87</v>
      </c>
      <c r="Q493" s="9">
        <v>46073</v>
      </c>
      <c r="R493" s="7" t="s">
        <v>290</v>
      </c>
      <c r="S493" s="10" t="s">
        <v>2168</v>
      </c>
    </row>
    <row r="494" spans="1:19" ht="67.5" x14ac:dyDescent="0.25">
      <c r="A494" s="17" t="s">
        <v>2169</v>
      </c>
      <c r="B494" s="7" t="s">
        <v>2170</v>
      </c>
      <c r="C494" s="7" t="s">
        <v>348</v>
      </c>
      <c r="D494" s="7" t="s">
        <v>2171</v>
      </c>
      <c r="E494" s="7" t="s">
        <v>355</v>
      </c>
      <c r="F494" s="7" t="s">
        <v>289</v>
      </c>
      <c r="G494" s="7" t="s">
        <v>289</v>
      </c>
      <c r="H494" s="8">
        <v>6</v>
      </c>
      <c r="I494" s="7"/>
      <c r="J494" s="7"/>
      <c r="K494" s="7"/>
      <c r="L494" s="8"/>
      <c r="M494" s="8"/>
      <c r="N494" s="7"/>
      <c r="O494" s="7"/>
      <c r="P494" s="7" t="s">
        <v>87</v>
      </c>
      <c r="Q494" s="9">
        <v>46126</v>
      </c>
      <c r="R494" s="7" t="s">
        <v>290</v>
      </c>
      <c r="S494" s="10" t="s">
        <v>2172</v>
      </c>
    </row>
    <row r="495" spans="1:19" ht="67.5" x14ac:dyDescent="0.25">
      <c r="A495" s="17" t="s">
        <v>2173</v>
      </c>
      <c r="B495" s="7" t="s">
        <v>2174</v>
      </c>
      <c r="C495" s="7" t="s">
        <v>348</v>
      </c>
      <c r="D495" s="7" t="s">
        <v>2175</v>
      </c>
      <c r="E495" s="7" t="s">
        <v>355</v>
      </c>
      <c r="F495" s="7" t="s">
        <v>289</v>
      </c>
      <c r="G495" s="7" t="s">
        <v>289</v>
      </c>
      <c r="H495" s="8">
        <v>15</v>
      </c>
      <c r="I495" s="7"/>
      <c r="J495" s="7"/>
      <c r="K495" s="7"/>
      <c r="L495" s="8"/>
      <c r="M495" s="8"/>
      <c r="N495" s="7"/>
      <c r="O495" s="7"/>
      <c r="P495" s="7" t="s">
        <v>87</v>
      </c>
      <c r="Q495" s="9">
        <v>46126</v>
      </c>
      <c r="R495" s="7" t="s">
        <v>290</v>
      </c>
      <c r="S495" s="10" t="s">
        <v>2176</v>
      </c>
    </row>
    <row r="496" spans="1:19" ht="81" x14ac:dyDescent="0.25">
      <c r="A496" s="17" t="s">
        <v>2177</v>
      </c>
      <c r="B496" s="7" t="s">
        <v>2178</v>
      </c>
      <c r="C496" s="7" t="s">
        <v>500</v>
      </c>
      <c r="D496" s="7" t="s">
        <v>2179</v>
      </c>
      <c r="E496" s="7" t="s">
        <v>2180</v>
      </c>
      <c r="F496" s="7" t="s">
        <v>289</v>
      </c>
      <c r="G496" s="7" t="s">
        <v>289</v>
      </c>
      <c r="H496" s="8">
        <v>1</v>
      </c>
      <c r="I496" s="7"/>
      <c r="J496" s="7"/>
      <c r="K496" s="7"/>
      <c r="L496" s="8"/>
      <c r="M496" s="8"/>
      <c r="N496" s="7"/>
      <c r="O496" s="7"/>
      <c r="P496" s="7" t="s">
        <v>87</v>
      </c>
      <c r="Q496" s="9">
        <v>46076</v>
      </c>
      <c r="R496" s="7" t="s">
        <v>290</v>
      </c>
      <c r="S496" s="10" t="s">
        <v>2181</v>
      </c>
    </row>
    <row r="497" spans="1:19" ht="40.5" x14ac:dyDescent="0.25">
      <c r="A497" s="17" t="s">
        <v>2182</v>
      </c>
      <c r="B497" s="7" t="s">
        <v>2183</v>
      </c>
      <c r="C497" s="7" t="s">
        <v>378</v>
      </c>
      <c r="D497" s="7"/>
      <c r="E497" s="7"/>
      <c r="F497" s="7" t="s">
        <v>289</v>
      </c>
      <c r="G497" s="7" t="s">
        <v>289</v>
      </c>
      <c r="H497" s="8"/>
      <c r="I497" s="7"/>
      <c r="J497" s="7"/>
      <c r="K497" s="7"/>
      <c r="L497" s="8"/>
      <c r="M497" s="8"/>
      <c r="N497" s="7"/>
      <c r="O497" s="7"/>
      <c r="P497" s="7" t="s">
        <v>87</v>
      </c>
      <c r="Q497" s="9">
        <v>46221</v>
      </c>
      <c r="R497" s="7" t="s">
        <v>290</v>
      </c>
      <c r="S497" s="10" t="s">
        <v>2184</v>
      </c>
    </row>
    <row r="498" spans="1:19" ht="40.5" x14ac:dyDescent="0.25">
      <c r="A498" s="17" t="s">
        <v>2185</v>
      </c>
      <c r="B498" s="7" t="s">
        <v>2186</v>
      </c>
      <c r="C498" s="7" t="s">
        <v>378</v>
      </c>
      <c r="D498" s="7"/>
      <c r="E498" s="7"/>
      <c r="F498" s="7" t="s">
        <v>289</v>
      </c>
      <c r="G498" s="7" t="s">
        <v>289</v>
      </c>
      <c r="H498" s="8"/>
      <c r="I498" s="7"/>
      <c r="J498" s="7"/>
      <c r="K498" s="7"/>
      <c r="L498" s="8"/>
      <c r="M498" s="8"/>
      <c r="N498" s="7"/>
      <c r="O498" s="7"/>
      <c r="P498" s="7" t="s">
        <v>87</v>
      </c>
      <c r="Q498" s="9">
        <v>46221</v>
      </c>
      <c r="R498" s="7" t="s">
        <v>290</v>
      </c>
      <c r="S498" s="10" t="s">
        <v>2187</v>
      </c>
    </row>
    <row r="499" spans="1:19" ht="40.5" x14ac:dyDescent="0.25">
      <c r="A499" s="17" t="s">
        <v>2188</v>
      </c>
      <c r="B499" s="7" t="s">
        <v>2189</v>
      </c>
      <c r="C499" s="7" t="s">
        <v>596</v>
      </c>
      <c r="D499" s="7"/>
      <c r="E499" s="7"/>
      <c r="F499" s="7" t="s">
        <v>289</v>
      </c>
      <c r="G499" s="7" t="s">
        <v>289</v>
      </c>
      <c r="H499" s="8"/>
      <c r="I499" s="7"/>
      <c r="J499" s="7"/>
      <c r="K499" s="7"/>
      <c r="L499" s="8"/>
      <c r="M499" s="8"/>
      <c r="N499" s="7"/>
      <c r="O499" s="7"/>
      <c r="P499" s="7" t="s">
        <v>87</v>
      </c>
      <c r="Q499" s="9">
        <v>46221</v>
      </c>
      <c r="R499" s="7" t="s">
        <v>290</v>
      </c>
      <c r="S499" s="10" t="s">
        <v>2190</v>
      </c>
    </row>
    <row r="500" spans="1:19" ht="40.5" x14ac:dyDescent="0.25">
      <c r="A500" s="17" t="s">
        <v>2191</v>
      </c>
      <c r="B500" s="7" t="s">
        <v>2192</v>
      </c>
      <c r="C500" s="7" t="s">
        <v>378</v>
      </c>
      <c r="D500" s="7"/>
      <c r="E500" s="7"/>
      <c r="F500" s="7" t="s">
        <v>289</v>
      </c>
      <c r="G500" s="7" t="s">
        <v>289</v>
      </c>
      <c r="H500" s="8"/>
      <c r="I500" s="7"/>
      <c r="J500" s="7"/>
      <c r="K500" s="7"/>
      <c r="L500" s="8"/>
      <c r="M500" s="8"/>
      <c r="N500" s="7"/>
      <c r="O500" s="7"/>
      <c r="P500" s="7" t="s">
        <v>87</v>
      </c>
      <c r="Q500" s="9">
        <v>46221</v>
      </c>
      <c r="R500" s="7" t="s">
        <v>290</v>
      </c>
      <c r="S500" s="10" t="s">
        <v>2193</v>
      </c>
    </row>
    <row r="501" spans="1:19" ht="81" x14ac:dyDescent="0.25">
      <c r="A501" s="17" t="s">
        <v>2194</v>
      </c>
      <c r="B501" s="7" t="s">
        <v>2195</v>
      </c>
      <c r="C501" s="7" t="s">
        <v>500</v>
      </c>
      <c r="D501" s="7" t="s">
        <v>2196</v>
      </c>
      <c r="E501" s="7" t="s">
        <v>361</v>
      </c>
      <c r="F501" s="7" t="s">
        <v>25</v>
      </c>
      <c r="G501" s="7" t="s">
        <v>25</v>
      </c>
      <c r="H501" s="8">
        <v>1000</v>
      </c>
      <c r="I501" s="7"/>
      <c r="J501" s="7"/>
      <c r="K501" s="7"/>
      <c r="L501" s="8"/>
      <c r="M501" s="8"/>
      <c r="N501" s="7"/>
      <c r="O501" s="7"/>
      <c r="P501" s="7" t="s">
        <v>87</v>
      </c>
      <c r="Q501" s="9">
        <v>46107</v>
      </c>
      <c r="R501" s="7" t="s">
        <v>290</v>
      </c>
      <c r="S501" s="10" t="s">
        <v>2197</v>
      </c>
    </row>
    <row r="502" spans="1:19" ht="81" x14ac:dyDescent="0.25">
      <c r="A502" s="17" t="s">
        <v>2198</v>
      </c>
      <c r="B502" s="7" t="s">
        <v>2199</v>
      </c>
      <c r="C502" s="7" t="s">
        <v>411</v>
      </c>
      <c r="D502" s="7" t="s">
        <v>2200</v>
      </c>
      <c r="E502" s="7" t="s">
        <v>361</v>
      </c>
      <c r="F502" s="7" t="s">
        <v>25</v>
      </c>
      <c r="G502" s="7" t="s">
        <v>25</v>
      </c>
      <c r="H502" s="8">
        <v>1000</v>
      </c>
      <c r="I502" s="7"/>
      <c r="J502" s="7"/>
      <c r="K502" s="7"/>
      <c r="L502" s="8"/>
      <c r="M502" s="8"/>
      <c r="N502" s="7"/>
      <c r="O502" s="7"/>
      <c r="P502" s="7" t="s">
        <v>87</v>
      </c>
      <c r="Q502" s="9">
        <v>46172</v>
      </c>
      <c r="R502" s="7" t="s">
        <v>290</v>
      </c>
      <c r="S502" s="10" t="s">
        <v>2201</v>
      </c>
    </row>
    <row r="503" spans="1:19" ht="81" x14ac:dyDescent="0.25">
      <c r="A503" s="17" t="s">
        <v>2202</v>
      </c>
      <c r="B503" s="7" t="s">
        <v>2203</v>
      </c>
      <c r="C503" s="7" t="s">
        <v>305</v>
      </c>
      <c r="D503" s="7" t="s">
        <v>2204</v>
      </c>
      <c r="E503" s="7" t="s">
        <v>2205</v>
      </c>
      <c r="F503" s="7" t="s">
        <v>25</v>
      </c>
      <c r="G503" s="7" t="s">
        <v>25</v>
      </c>
      <c r="H503" s="8">
        <v>1000</v>
      </c>
      <c r="I503" s="7"/>
      <c r="J503" s="7"/>
      <c r="K503" s="7"/>
      <c r="L503" s="8"/>
      <c r="M503" s="8"/>
      <c r="N503" s="7"/>
      <c r="O503" s="7"/>
      <c r="P503" s="7" t="s">
        <v>87</v>
      </c>
      <c r="Q503" s="9">
        <v>46097</v>
      </c>
      <c r="R503" s="7" t="s">
        <v>290</v>
      </c>
      <c r="S503" s="10" t="s">
        <v>2206</v>
      </c>
    </row>
    <row r="504" spans="1:19" ht="40.5" x14ac:dyDescent="0.25">
      <c r="A504" s="17" t="s">
        <v>2207</v>
      </c>
      <c r="B504" s="7" t="s">
        <v>2208</v>
      </c>
      <c r="C504" s="7" t="s">
        <v>2209</v>
      </c>
      <c r="D504" s="7"/>
      <c r="E504" s="7"/>
      <c r="F504" s="7" t="s">
        <v>25</v>
      </c>
      <c r="G504" s="7" t="s">
        <v>25</v>
      </c>
      <c r="H504" s="8"/>
      <c r="I504" s="7"/>
      <c r="J504" s="7"/>
      <c r="K504" s="7"/>
      <c r="L504" s="8"/>
      <c r="M504" s="8"/>
      <c r="N504" s="7"/>
      <c r="O504" s="7"/>
      <c r="P504" s="7" t="s">
        <v>87</v>
      </c>
      <c r="Q504" s="9">
        <v>46111</v>
      </c>
      <c r="R504" s="7" t="s">
        <v>290</v>
      </c>
      <c r="S504" s="10" t="s">
        <v>2210</v>
      </c>
    </row>
    <row r="505" spans="1:19" ht="40.5" x14ac:dyDescent="0.25">
      <c r="A505" s="17" t="s">
        <v>2211</v>
      </c>
      <c r="B505" s="7" t="s">
        <v>2212</v>
      </c>
      <c r="C505" s="7" t="s">
        <v>2213</v>
      </c>
      <c r="D505" s="7"/>
      <c r="E505" s="7"/>
      <c r="F505" s="7" t="s">
        <v>289</v>
      </c>
      <c r="G505" s="7" t="s">
        <v>289</v>
      </c>
      <c r="H505" s="8"/>
      <c r="I505" s="7"/>
      <c r="J505" s="7"/>
      <c r="K505" s="7"/>
      <c r="L505" s="8"/>
      <c r="M505" s="8"/>
      <c r="N505" s="7"/>
      <c r="O505" s="7"/>
      <c r="P505" s="7" t="s">
        <v>87</v>
      </c>
      <c r="Q505" s="9">
        <v>46091</v>
      </c>
      <c r="R505" s="7" t="s">
        <v>290</v>
      </c>
      <c r="S505" s="10" t="s">
        <v>2214</v>
      </c>
    </row>
    <row r="506" spans="1:19" ht="40.5" x14ac:dyDescent="0.25">
      <c r="A506" s="17" t="s">
        <v>2215</v>
      </c>
      <c r="B506" s="7" t="s">
        <v>2216</v>
      </c>
      <c r="C506" s="7" t="s">
        <v>2213</v>
      </c>
      <c r="D506" s="7"/>
      <c r="E506" s="7"/>
      <c r="F506" s="7" t="s">
        <v>289</v>
      </c>
      <c r="G506" s="7" t="s">
        <v>289</v>
      </c>
      <c r="H506" s="8"/>
      <c r="I506" s="7"/>
      <c r="J506" s="7"/>
      <c r="K506" s="7"/>
      <c r="L506" s="8"/>
      <c r="M506" s="8"/>
      <c r="N506" s="7"/>
      <c r="O506" s="7"/>
      <c r="P506" s="7" t="s">
        <v>87</v>
      </c>
      <c r="Q506" s="9">
        <v>46091</v>
      </c>
      <c r="R506" s="7" t="s">
        <v>290</v>
      </c>
      <c r="S506" s="10" t="s">
        <v>2217</v>
      </c>
    </row>
    <row r="507" spans="1:19" ht="27" x14ac:dyDescent="0.25">
      <c r="A507" s="17" t="s">
        <v>2218</v>
      </c>
      <c r="B507" s="7" t="s">
        <v>2219</v>
      </c>
      <c r="C507" s="7" t="s">
        <v>294</v>
      </c>
      <c r="D507" s="7"/>
      <c r="E507" s="7"/>
      <c r="F507" s="7" t="s">
        <v>289</v>
      </c>
      <c r="G507" s="7" t="s">
        <v>289</v>
      </c>
      <c r="H507" s="8"/>
      <c r="I507" s="7"/>
      <c r="J507" s="7"/>
      <c r="K507" s="7"/>
      <c r="L507" s="8"/>
      <c r="M507" s="8"/>
      <c r="N507" s="7"/>
      <c r="O507" s="7"/>
      <c r="P507" s="7" t="s">
        <v>87</v>
      </c>
      <c r="Q507" s="9">
        <v>46203</v>
      </c>
      <c r="R507" s="7" t="s">
        <v>290</v>
      </c>
      <c r="S507" s="10" t="s">
        <v>2220</v>
      </c>
    </row>
    <row r="508" spans="1:19" ht="27" x14ac:dyDescent="0.25">
      <c r="A508" s="17" t="s">
        <v>2221</v>
      </c>
      <c r="B508" s="7" t="s">
        <v>2222</v>
      </c>
      <c r="C508" s="7" t="s">
        <v>294</v>
      </c>
      <c r="D508" s="7"/>
      <c r="E508" s="7"/>
      <c r="F508" s="7" t="s">
        <v>289</v>
      </c>
      <c r="G508" s="7" t="s">
        <v>289</v>
      </c>
      <c r="H508" s="8"/>
      <c r="I508" s="7"/>
      <c r="J508" s="7"/>
      <c r="K508" s="7"/>
      <c r="L508" s="8"/>
      <c r="M508" s="8"/>
      <c r="N508" s="7"/>
      <c r="O508" s="7"/>
      <c r="P508" s="7" t="s">
        <v>87</v>
      </c>
      <c r="Q508" s="9">
        <v>46091</v>
      </c>
      <c r="R508" s="7" t="s">
        <v>290</v>
      </c>
      <c r="S508" s="10" t="s">
        <v>2223</v>
      </c>
    </row>
    <row r="509" spans="1:19" ht="27" x14ac:dyDescent="0.25">
      <c r="A509" s="17" t="s">
        <v>2224</v>
      </c>
      <c r="B509" s="7" t="s">
        <v>2225</v>
      </c>
      <c r="C509" s="7" t="s">
        <v>294</v>
      </c>
      <c r="D509" s="7"/>
      <c r="E509" s="7"/>
      <c r="F509" s="7" t="s">
        <v>289</v>
      </c>
      <c r="G509" s="7" t="s">
        <v>289</v>
      </c>
      <c r="H509" s="8"/>
      <c r="I509" s="7"/>
      <c r="J509" s="7"/>
      <c r="K509" s="7"/>
      <c r="L509" s="8"/>
      <c r="M509" s="8"/>
      <c r="N509" s="7"/>
      <c r="O509" s="7"/>
      <c r="P509" s="7" t="s">
        <v>87</v>
      </c>
      <c r="Q509" s="9">
        <v>46091</v>
      </c>
      <c r="R509" s="7" t="s">
        <v>290</v>
      </c>
      <c r="S509" s="10" t="s">
        <v>2226</v>
      </c>
    </row>
    <row r="510" spans="1:19" ht="27" x14ac:dyDescent="0.25">
      <c r="A510" s="17" t="s">
        <v>2227</v>
      </c>
      <c r="B510" s="7" t="s">
        <v>2228</v>
      </c>
      <c r="C510" s="7" t="s">
        <v>294</v>
      </c>
      <c r="D510" s="7"/>
      <c r="E510" s="7"/>
      <c r="F510" s="7" t="s">
        <v>289</v>
      </c>
      <c r="G510" s="7" t="s">
        <v>289</v>
      </c>
      <c r="H510" s="8"/>
      <c r="I510" s="7"/>
      <c r="J510" s="7"/>
      <c r="K510" s="7"/>
      <c r="L510" s="8"/>
      <c r="M510" s="8"/>
      <c r="N510" s="7"/>
      <c r="O510" s="7"/>
      <c r="P510" s="7" t="s">
        <v>87</v>
      </c>
      <c r="Q510" s="9">
        <v>46091</v>
      </c>
      <c r="R510" s="7" t="s">
        <v>290</v>
      </c>
      <c r="S510" s="10" t="s">
        <v>2229</v>
      </c>
    </row>
    <row r="511" spans="1:19" ht="27" x14ac:dyDescent="0.25">
      <c r="A511" s="17" t="s">
        <v>2230</v>
      </c>
      <c r="B511" s="7" t="s">
        <v>2231</v>
      </c>
      <c r="C511" s="7" t="s">
        <v>294</v>
      </c>
      <c r="D511" s="7"/>
      <c r="E511" s="7"/>
      <c r="F511" s="7" t="s">
        <v>289</v>
      </c>
      <c r="G511" s="7" t="s">
        <v>289</v>
      </c>
      <c r="H511" s="8"/>
      <c r="I511" s="7"/>
      <c r="J511" s="7"/>
      <c r="K511" s="7"/>
      <c r="L511" s="8"/>
      <c r="M511" s="8"/>
      <c r="N511" s="7"/>
      <c r="O511" s="7"/>
      <c r="P511" s="7" t="s">
        <v>87</v>
      </c>
      <c r="Q511" s="9">
        <v>46091</v>
      </c>
      <c r="R511" s="7" t="s">
        <v>290</v>
      </c>
      <c r="S511" s="10" t="s">
        <v>2232</v>
      </c>
    </row>
    <row r="512" spans="1:19" ht="27" x14ac:dyDescent="0.25">
      <c r="A512" s="17" t="s">
        <v>2233</v>
      </c>
      <c r="B512" s="7" t="s">
        <v>2234</v>
      </c>
      <c r="C512" s="7" t="s">
        <v>294</v>
      </c>
      <c r="D512" s="7"/>
      <c r="E512" s="7"/>
      <c r="F512" s="7" t="s">
        <v>289</v>
      </c>
      <c r="G512" s="7" t="s">
        <v>289</v>
      </c>
      <c r="H512" s="8"/>
      <c r="I512" s="7"/>
      <c r="J512" s="7"/>
      <c r="K512" s="7"/>
      <c r="L512" s="8"/>
      <c r="M512" s="8"/>
      <c r="N512" s="7"/>
      <c r="O512" s="7"/>
      <c r="P512" s="7" t="s">
        <v>87</v>
      </c>
      <c r="Q512" s="9">
        <v>46091</v>
      </c>
      <c r="R512" s="7" t="s">
        <v>290</v>
      </c>
      <c r="S512" s="10" t="s">
        <v>2235</v>
      </c>
    </row>
    <row r="513" spans="1:19" ht="27" x14ac:dyDescent="0.25">
      <c r="A513" s="17" t="s">
        <v>2236</v>
      </c>
      <c r="B513" s="7" t="s">
        <v>2237</v>
      </c>
      <c r="C513" s="7" t="s">
        <v>294</v>
      </c>
      <c r="D513" s="7"/>
      <c r="E513" s="7"/>
      <c r="F513" s="7" t="s">
        <v>289</v>
      </c>
      <c r="G513" s="7" t="s">
        <v>289</v>
      </c>
      <c r="H513" s="8"/>
      <c r="I513" s="7"/>
      <c r="J513" s="7"/>
      <c r="K513" s="7"/>
      <c r="L513" s="8"/>
      <c r="M513" s="8"/>
      <c r="N513" s="7"/>
      <c r="O513" s="7"/>
      <c r="P513" s="7" t="s">
        <v>87</v>
      </c>
      <c r="Q513" s="9">
        <v>46091</v>
      </c>
      <c r="R513" s="7" t="s">
        <v>290</v>
      </c>
      <c r="S513" s="10" t="s">
        <v>2238</v>
      </c>
    </row>
    <row r="514" spans="1:19" ht="27" x14ac:dyDescent="0.25">
      <c r="A514" s="17" t="s">
        <v>2239</v>
      </c>
      <c r="B514" s="7" t="s">
        <v>2240</v>
      </c>
      <c r="C514" s="7" t="s">
        <v>294</v>
      </c>
      <c r="D514" s="7"/>
      <c r="E514" s="7"/>
      <c r="F514" s="7" t="s">
        <v>289</v>
      </c>
      <c r="G514" s="7" t="s">
        <v>289</v>
      </c>
      <c r="H514" s="8"/>
      <c r="I514" s="7"/>
      <c r="J514" s="7"/>
      <c r="K514" s="7"/>
      <c r="L514" s="8"/>
      <c r="M514" s="8"/>
      <c r="N514" s="7"/>
      <c r="O514" s="7"/>
      <c r="P514" s="7" t="s">
        <v>87</v>
      </c>
      <c r="Q514" s="9">
        <v>46203</v>
      </c>
      <c r="R514" s="7" t="s">
        <v>290</v>
      </c>
      <c r="S514" s="10" t="s">
        <v>2241</v>
      </c>
    </row>
    <row r="515" spans="1:19" ht="27" x14ac:dyDescent="0.25">
      <c r="A515" s="17" t="s">
        <v>2242</v>
      </c>
      <c r="B515" s="7" t="s">
        <v>2243</v>
      </c>
      <c r="C515" s="7" t="s">
        <v>294</v>
      </c>
      <c r="D515" s="7"/>
      <c r="E515" s="7"/>
      <c r="F515" s="7" t="s">
        <v>289</v>
      </c>
      <c r="G515" s="7" t="s">
        <v>289</v>
      </c>
      <c r="H515" s="8"/>
      <c r="I515" s="7"/>
      <c r="J515" s="7"/>
      <c r="K515" s="7"/>
      <c r="L515" s="8"/>
      <c r="M515" s="8"/>
      <c r="N515" s="7"/>
      <c r="O515" s="7"/>
      <c r="P515" s="7" t="s">
        <v>87</v>
      </c>
      <c r="Q515" s="9">
        <v>46195</v>
      </c>
      <c r="R515" s="7" t="s">
        <v>290</v>
      </c>
      <c r="S515" s="10" t="s">
        <v>2244</v>
      </c>
    </row>
    <row r="516" spans="1:19" ht="27" x14ac:dyDescent="0.25">
      <c r="A516" s="17" t="s">
        <v>2245</v>
      </c>
      <c r="B516" s="7" t="s">
        <v>2246</v>
      </c>
      <c r="C516" s="7" t="s">
        <v>294</v>
      </c>
      <c r="D516" s="7"/>
      <c r="E516" s="7"/>
      <c r="F516" s="7" t="s">
        <v>289</v>
      </c>
      <c r="G516" s="7" t="s">
        <v>289</v>
      </c>
      <c r="H516" s="8"/>
      <c r="I516" s="7"/>
      <c r="J516" s="7"/>
      <c r="K516" s="7"/>
      <c r="L516" s="8"/>
      <c r="M516" s="8"/>
      <c r="N516" s="7"/>
      <c r="O516" s="7"/>
      <c r="P516" s="7" t="s">
        <v>87</v>
      </c>
      <c r="Q516" s="9">
        <v>46091</v>
      </c>
      <c r="R516" s="7" t="s">
        <v>290</v>
      </c>
      <c r="S516" s="10" t="s">
        <v>2247</v>
      </c>
    </row>
    <row r="517" spans="1:19" ht="27" x14ac:dyDescent="0.25">
      <c r="A517" s="17" t="s">
        <v>2248</v>
      </c>
      <c r="B517" s="7" t="s">
        <v>2249</v>
      </c>
      <c r="C517" s="7" t="s">
        <v>491</v>
      </c>
      <c r="D517" s="7"/>
      <c r="E517" s="7"/>
      <c r="F517" s="7" t="s">
        <v>289</v>
      </c>
      <c r="G517" s="7" t="s">
        <v>289</v>
      </c>
      <c r="H517" s="8"/>
      <c r="I517" s="7"/>
      <c r="J517" s="7"/>
      <c r="K517" s="7"/>
      <c r="L517" s="8"/>
      <c r="M517" s="8"/>
      <c r="N517" s="7"/>
      <c r="O517" s="7"/>
      <c r="P517" s="7" t="s">
        <v>87</v>
      </c>
      <c r="Q517" s="9">
        <v>46184</v>
      </c>
      <c r="R517" s="7" t="s">
        <v>290</v>
      </c>
      <c r="S517" s="10" t="s">
        <v>2250</v>
      </c>
    </row>
    <row r="518" spans="1:19" ht="81" x14ac:dyDescent="0.25">
      <c r="A518" s="17" t="s">
        <v>2251</v>
      </c>
      <c r="B518" s="7" t="s">
        <v>2252</v>
      </c>
      <c r="C518" s="7" t="s">
        <v>342</v>
      </c>
      <c r="D518" s="7" t="s">
        <v>2253</v>
      </c>
      <c r="E518" s="7" t="s">
        <v>361</v>
      </c>
      <c r="F518" s="7" t="s">
        <v>25</v>
      </c>
      <c r="G518" s="7" t="s">
        <v>25</v>
      </c>
      <c r="H518" s="8">
        <v>1000</v>
      </c>
      <c r="I518" s="7"/>
      <c r="J518" s="7"/>
      <c r="K518" s="7"/>
      <c r="L518" s="8"/>
      <c r="M518" s="8"/>
      <c r="N518" s="7"/>
      <c r="O518" s="7"/>
      <c r="P518" s="7" t="s">
        <v>87</v>
      </c>
      <c r="Q518" s="9">
        <v>46094</v>
      </c>
      <c r="R518" s="7" t="s">
        <v>290</v>
      </c>
      <c r="S518" s="10" t="s">
        <v>2254</v>
      </c>
    </row>
    <row r="519" spans="1:19" ht="27" x14ac:dyDescent="0.25">
      <c r="A519" s="17" t="s">
        <v>2255</v>
      </c>
      <c r="B519" s="7" t="s">
        <v>2256</v>
      </c>
      <c r="C519" s="7" t="s">
        <v>348</v>
      </c>
      <c r="D519" s="7"/>
      <c r="E519" s="7"/>
      <c r="F519" s="7" t="s">
        <v>289</v>
      </c>
      <c r="G519" s="7" t="s">
        <v>289</v>
      </c>
      <c r="H519" s="8"/>
      <c r="I519" s="7"/>
      <c r="J519" s="7"/>
      <c r="K519" s="7"/>
      <c r="L519" s="8"/>
      <c r="M519" s="8"/>
      <c r="N519" s="7"/>
      <c r="O519" s="7"/>
      <c r="P519" s="7" t="s">
        <v>87</v>
      </c>
      <c r="Q519" s="9">
        <v>46184</v>
      </c>
      <c r="R519" s="7" t="s">
        <v>290</v>
      </c>
      <c r="S519" s="10" t="s">
        <v>2257</v>
      </c>
    </row>
    <row r="520" spans="1:19" ht="81" x14ac:dyDescent="0.25">
      <c r="A520" s="17" t="s">
        <v>2258</v>
      </c>
      <c r="B520" s="7" t="s">
        <v>2259</v>
      </c>
      <c r="C520" s="7" t="s">
        <v>2260</v>
      </c>
      <c r="D520" s="7" t="s">
        <v>2261</v>
      </c>
      <c r="E520" s="7" t="s">
        <v>1206</v>
      </c>
      <c r="F520" s="7" t="s">
        <v>25</v>
      </c>
      <c r="G520" s="7" t="s">
        <v>24</v>
      </c>
      <c r="H520" s="8">
        <v>3600</v>
      </c>
      <c r="I520" s="7"/>
      <c r="J520" s="7"/>
      <c r="K520" s="7"/>
      <c r="L520" s="8"/>
      <c r="M520" s="8"/>
      <c r="N520" s="7"/>
      <c r="O520" s="7"/>
      <c r="P520" s="7" t="s">
        <v>87</v>
      </c>
      <c r="Q520" s="9">
        <v>46083</v>
      </c>
      <c r="R520" s="7" t="s">
        <v>290</v>
      </c>
      <c r="S520" s="10" t="s">
        <v>2262</v>
      </c>
    </row>
    <row r="521" spans="1:19" ht="67.5" x14ac:dyDescent="0.25">
      <c r="A521" s="17" t="s">
        <v>2263</v>
      </c>
      <c r="B521" s="7" t="s">
        <v>2264</v>
      </c>
      <c r="C521" s="7" t="s">
        <v>1236</v>
      </c>
      <c r="D521" s="7" t="s">
        <v>2265</v>
      </c>
      <c r="E521" s="7" t="s">
        <v>300</v>
      </c>
      <c r="F521" s="7" t="s">
        <v>289</v>
      </c>
      <c r="G521" s="7" t="s">
        <v>289</v>
      </c>
      <c r="H521" s="8">
        <v>1</v>
      </c>
      <c r="I521" s="7"/>
      <c r="J521" s="7"/>
      <c r="K521" s="7"/>
      <c r="L521" s="8"/>
      <c r="M521" s="8"/>
      <c r="N521" s="7"/>
      <c r="O521" s="7"/>
      <c r="P521" s="7" t="s">
        <v>87</v>
      </c>
      <c r="Q521" s="9">
        <v>46097</v>
      </c>
      <c r="R521" s="7" t="s">
        <v>290</v>
      </c>
      <c r="S521" s="10" t="s">
        <v>2266</v>
      </c>
    </row>
    <row r="522" spans="1:19" ht="27" x14ac:dyDescent="0.25">
      <c r="A522" s="17" t="s">
        <v>2267</v>
      </c>
      <c r="B522" s="7" t="s">
        <v>2268</v>
      </c>
      <c r="C522" s="7" t="s">
        <v>294</v>
      </c>
      <c r="D522" s="7"/>
      <c r="E522" s="7"/>
      <c r="F522" s="7" t="s">
        <v>289</v>
      </c>
      <c r="G522" s="7" t="s">
        <v>289</v>
      </c>
      <c r="H522" s="8"/>
      <c r="I522" s="7"/>
      <c r="J522" s="7"/>
      <c r="K522" s="7"/>
      <c r="L522" s="8"/>
      <c r="M522" s="8"/>
      <c r="N522" s="7"/>
      <c r="O522" s="7"/>
      <c r="P522" s="7" t="s">
        <v>87</v>
      </c>
      <c r="Q522" s="9">
        <v>46091</v>
      </c>
      <c r="R522" s="7" t="s">
        <v>290</v>
      </c>
      <c r="S522" s="10" t="s">
        <v>2269</v>
      </c>
    </row>
    <row r="523" spans="1:19" ht="27" x14ac:dyDescent="0.25">
      <c r="A523" s="17" t="s">
        <v>2270</v>
      </c>
      <c r="B523" s="7" t="s">
        <v>2271</v>
      </c>
      <c r="C523" s="7" t="s">
        <v>294</v>
      </c>
      <c r="D523" s="7"/>
      <c r="E523" s="7"/>
      <c r="F523" s="7" t="s">
        <v>289</v>
      </c>
      <c r="G523" s="7" t="s">
        <v>289</v>
      </c>
      <c r="H523" s="8"/>
      <c r="I523" s="7"/>
      <c r="J523" s="7"/>
      <c r="K523" s="7"/>
      <c r="L523" s="8"/>
      <c r="M523" s="8"/>
      <c r="N523" s="7"/>
      <c r="O523" s="7"/>
      <c r="P523" s="7" t="s">
        <v>87</v>
      </c>
      <c r="Q523" s="9">
        <v>46091</v>
      </c>
      <c r="R523" s="7" t="s">
        <v>290</v>
      </c>
      <c r="S523" s="10" t="s">
        <v>2272</v>
      </c>
    </row>
    <row r="524" spans="1:19" ht="27" x14ac:dyDescent="0.25">
      <c r="A524" s="17" t="s">
        <v>2273</v>
      </c>
      <c r="B524" s="7" t="s">
        <v>2274</v>
      </c>
      <c r="C524" s="7" t="s">
        <v>294</v>
      </c>
      <c r="D524" s="7"/>
      <c r="E524" s="7"/>
      <c r="F524" s="7" t="s">
        <v>289</v>
      </c>
      <c r="G524" s="7" t="s">
        <v>289</v>
      </c>
      <c r="H524" s="8"/>
      <c r="I524" s="7"/>
      <c r="J524" s="7"/>
      <c r="K524" s="7"/>
      <c r="L524" s="8"/>
      <c r="M524" s="8"/>
      <c r="N524" s="7"/>
      <c r="O524" s="7"/>
      <c r="P524" s="7" t="s">
        <v>87</v>
      </c>
      <c r="Q524" s="9">
        <v>46091</v>
      </c>
      <c r="R524" s="7" t="s">
        <v>290</v>
      </c>
      <c r="S524" s="10" t="s">
        <v>2275</v>
      </c>
    </row>
    <row r="525" spans="1:19" ht="27" x14ac:dyDescent="0.25">
      <c r="A525" s="17" t="s">
        <v>2276</v>
      </c>
      <c r="B525" s="7" t="s">
        <v>2277</v>
      </c>
      <c r="C525" s="7" t="s">
        <v>294</v>
      </c>
      <c r="D525" s="7"/>
      <c r="E525" s="7"/>
      <c r="F525" s="7" t="s">
        <v>289</v>
      </c>
      <c r="G525" s="7" t="s">
        <v>289</v>
      </c>
      <c r="H525" s="8"/>
      <c r="I525" s="7"/>
      <c r="J525" s="7"/>
      <c r="K525" s="7"/>
      <c r="L525" s="8"/>
      <c r="M525" s="8"/>
      <c r="N525" s="7"/>
      <c r="O525" s="7"/>
      <c r="P525" s="7" t="s">
        <v>87</v>
      </c>
      <c r="Q525" s="9">
        <v>46091</v>
      </c>
      <c r="R525" s="7" t="s">
        <v>290</v>
      </c>
      <c r="S525" s="10" t="s">
        <v>2278</v>
      </c>
    </row>
    <row r="526" spans="1:19" ht="54" x14ac:dyDescent="0.25">
      <c r="A526" s="17" t="s">
        <v>2279</v>
      </c>
      <c r="B526" s="7" t="s">
        <v>2280</v>
      </c>
      <c r="C526" s="7" t="s">
        <v>437</v>
      </c>
      <c r="D526" s="7" t="s">
        <v>2281</v>
      </c>
      <c r="E526" s="7" t="s">
        <v>439</v>
      </c>
      <c r="F526" s="7" t="s">
        <v>289</v>
      </c>
      <c r="G526" s="7" t="s">
        <v>289</v>
      </c>
      <c r="H526" s="8">
        <v>1</v>
      </c>
      <c r="I526" s="7"/>
      <c r="J526" s="7"/>
      <c r="K526" s="7"/>
      <c r="L526" s="8"/>
      <c r="M526" s="8"/>
      <c r="N526" s="7"/>
      <c r="O526" s="7"/>
      <c r="P526" s="7" t="s">
        <v>87</v>
      </c>
      <c r="Q526" s="9">
        <v>46105</v>
      </c>
      <c r="R526" s="7" t="s">
        <v>290</v>
      </c>
      <c r="S526" s="10" t="s">
        <v>2282</v>
      </c>
    </row>
    <row r="527" spans="1:19" ht="40.5" x14ac:dyDescent="0.25">
      <c r="A527" s="17" t="s">
        <v>2283</v>
      </c>
      <c r="B527" s="7" t="s">
        <v>2280</v>
      </c>
      <c r="C527" s="7" t="s">
        <v>1138</v>
      </c>
      <c r="D527" s="7"/>
      <c r="E527" s="7"/>
      <c r="F527" s="7" t="s">
        <v>25</v>
      </c>
      <c r="G527" s="7" t="s">
        <v>25</v>
      </c>
      <c r="H527" s="8"/>
      <c r="I527" s="7"/>
      <c r="J527" s="7"/>
      <c r="K527" s="7"/>
      <c r="L527" s="8"/>
      <c r="M527" s="8"/>
      <c r="N527" s="7"/>
      <c r="O527" s="7"/>
      <c r="P527" s="7" t="s">
        <v>87</v>
      </c>
      <c r="Q527" s="9">
        <v>46097</v>
      </c>
      <c r="R527" s="7" t="s">
        <v>290</v>
      </c>
      <c r="S527" s="10" t="s">
        <v>2284</v>
      </c>
    </row>
    <row r="528" spans="1:19" ht="54" x14ac:dyDescent="0.25">
      <c r="A528" s="17" t="s">
        <v>2285</v>
      </c>
      <c r="B528" s="7" t="s">
        <v>2286</v>
      </c>
      <c r="C528" s="7" t="s">
        <v>437</v>
      </c>
      <c r="D528" s="7" t="s">
        <v>2287</v>
      </c>
      <c r="E528" s="7" t="s">
        <v>439</v>
      </c>
      <c r="F528" s="7" t="s">
        <v>289</v>
      </c>
      <c r="G528" s="7" t="s">
        <v>289</v>
      </c>
      <c r="H528" s="8">
        <v>1</v>
      </c>
      <c r="I528" s="7"/>
      <c r="J528" s="7"/>
      <c r="K528" s="7"/>
      <c r="L528" s="8"/>
      <c r="M528" s="8"/>
      <c r="N528" s="7"/>
      <c r="O528" s="7"/>
      <c r="P528" s="7" t="s">
        <v>87</v>
      </c>
      <c r="Q528" s="9">
        <v>46121</v>
      </c>
      <c r="R528" s="7" t="s">
        <v>290</v>
      </c>
      <c r="S528" s="10" t="s">
        <v>2288</v>
      </c>
    </row>
    <row r="529" spans="1:19" ht="40.5" x14ac:dyDescent="0.25">
      <c r="A529" s="17" t="s">
        <v>2289</v>
      </c>
      <c r="B529" s="7" t="s">
        <v>2290</v>
      </c>
      <c r="C529" s="7" t="s">
        <v>655</v>
      </c>
      <c r="D529" s="7"/>
      <c r="E529" s="7"/>
      <c r="F529" s="7" t="s">
        <v>25</v>
      </c>
      <c r="G529" s="7" t="s">
        <v>25</v>
      </c>
      <c r="H529" s="8"/>
      <c r="I529" s="7"/>
      <c r="J529" s="7"/>
      <c r="K529" s="7"/>
      <c r="L529" s="8"/>
      <c r="M529" s="8"/>
      <c r="N529" s="7"/>
      <c r="O529" s="7"/>
      <c r="P529" s="7" t="s">
        <v>87</v>
      </c>
      <c r="Q529" s="9">
        <v>46097</v>
      </c>
      <c r="R529" s="7" t="s">
        <v>290</v>
      </c>
      <c r="S529" s="10" t="s">
        <v>2291</v>
      </c>
    </row>
    <row r="530" spans="1:19" ht="40.5" x14ac:dyDescent="0.25">
      <c r="A530" s="17" t="s">
        <v>2292</v>
      </c>
      <c r="B530" s="7" t="s">
        <v>2293</v>
      </c>
      <c r="C530" s="7" t="s">
        <v>2294</v>
      </c>
      <c r="D530" s="7"/>
      <c r="E530" s="7"/>
      <c r="F530" s="7" t="s">
        <v>289</v>
      </c>
      <c r="G530" s="7" t="s">
        <v>289</v>
      </c>
      <c r="H530" s="8"/>
      <c r="I530" s="7"/>
      <c r="J530" s="7"/>
      <c r="K530" s="7"/>
      <c r="L530" s="8"/>
      <c r="M530" s="8"/>
      <c r="N530" s="7"/>
      <c r="O530" s="7"/>
      <c r="P530" s="7" t="s">
        <v>87</v>
      </c>
      <c r="Q530" s="9">
        <v>46226</v>
      </c>
      <c r="R530" s="7" t="s">
        <v>290</v>
      </c>
      <c r="S530" s="10" t="s">
        <v>2295</v>
      </c>
    </row>
    <row r="531" spans="1:19" ht="40.5" x14ac:dyDescent="0.25">
      <c r="A531" s="17" t="s">
        <v>2296</v>
      </c>
      <c r="B531" s="7" t="s">
        <v>2297</v>
      </c>
      <c r="C531" s="7" t="s">
        <v>2294</v>
      </c>
      <c r="D531" s="7"/>
      <c r="E531" s="7"/>
      <c r="F531" s="7" t="s">
        <v>289</v>
      </c>
      <c r="G531" s="7" t="s">
        <v>289</v>
      </c>
      <c r="H531" s="8"/>
      <c r="I531" s="7"/>
      <c r="J531" s="7"/>
      <c r="K531" s="7"/>
      <c r="L531" s="8"/>
      <c r="M531" s="8"/>
      <c r="N531" s="7"/>
      <c r="O531" s="7"/>
      <c r="P531" s="7" t="s">
        <v>87</v>
      </c>
      <c r="Q531" s="9">
        <v>46226</v>
      </c>
      <c r="R531" s="7" t="s">
        <v>290</v>
      </c>
      <c r="S531" s="10" t="s">
        <v>2298</v>
      </c>
    </row>
    <row r="532" spans="1:19" ht="40.5" x14ac:dyDescent="0.25">
      <c r="A532" s="17" t="s">
        <v>2299</v>
      </c>
      <c r="B532" s="7" t="s">
        <v>2300</v>
      </c>
      <c r="C532" s="7" t="s">
        <v>2294</v>
      </c>
      <c r="D532" s="7"/>
      <c r="E532" s="7"/>
      <c r="F532" s="7" t="s">
        <v>289</v>
      </c>
      <c r="G532" s="7" t="s">
        <v>289</v>
      </c>
      <c r="H532" s="8"/>
      <c r="I532" s="7"/>
      <c r="J532" s="7"/>
      <c r="K532" s="7"/>
      <c r="L532" s="8"/>
      <c r="M532" s="8"/>
      <c r="N532" s="7"/>
      <c r="O532" s="7"/>
      <c r="P532" s="7" t="s">
        <v>87</v>
      </c>
      <c r="Q532" s="9">
        <v>46226</v>
      </c>
      <c r="R532" s="7" t="s">
        <v>290</v>
      </c>
      <c r="S532" s="10" t="s">
        <v>2301</v>
      </c>
    </row>
    <row r="533" spans="1:19" ht="67.5" x14ac:dyDescent="0.25">
      <c r="A533" s="17" t="s">
        <v>2302</v>
      </c>
      <c r="B533" s="7" t="s">
        <v>2303</v>
      </c>
      <c r="C533" s="7" t="s">
        <v>1111</v>
      </c>
      <c r="D533" s="7" t="s">
        <v>2304</v>
      </c>
      <c r="E533" s="7" t="s">
        <v>300</v>
      </c>
      <c r="F533" s="7" t="s">
        <v>25</v>
      </c>
      <c r="G533" s="7" t="s">
        <v>25</v>
      </c>
      <c r="H533" s="8">
        <v>1</v>
      </c>
      <c r="I533" s="7"/>
      <c r="J533" s="7"/>
      <c r="K533" s="7"/>
      <c r="L533" s="8"/>
      <c r="M533" s="8"/>
      <c r="N533" s="7"/>
      <c r="O533" s="7"/>
      <c r="P533" s="7" t="s">
        <v>87</v>
      </c>
      <c r="Q533" s="9">
        <v>46097</v>
      </c>
      <c r="R533" s="7" t="s">
        <v>290</v>
      </c>
      <c r="S533" s="10" t="s">
        <v>2305</v>
      </c>
    </row>
    <row r="534" spans="1:19" ht="67.5" x14ac:dyDescent="0.25">
      <c r="A534" s="17" t="s">
        <v>2306</v>
      </c>
      <c r="B534" s="7" t="s">
        <v>2307</v>
      </c>
      <c r="C534" s="7" t="s">
        <v>1111</v>
      </c>
      <c r="D534" s="7" t="s">
        <v>2308</v>
      </c>
      <c r="E534" s="7" t="s">
        <v>300</v>
      </c>
      <c r="F534" s="7" t="s">
        <v>25</v>
      </c>
      <c r="G534" s="7" t="s">
        <v>25</v>
      </c>
      <c r="H534" s="8">
        <v>1</v>
      </c>
      <c r="I534" s="7"/>
      <c r="J534" s="7"/>
      <c r="K534" s="7"/>
      <c r="L534" s="8"/>
      <c r="M534" s="8"/>
      <c r="N534" s="7"/>
      <c r="O534" s="7"/>
      <c r="P534" s="7" t="s">
        <v>87</v>
      </c>
      <c r="Q534" s="9">
        <v>46097</v>
      </c>
      <c r="R534" s="7" t="s">
        <v>290</v>
      </c>
      <c r="S534" s="10" t="s">
        <v>2309</v>
      </c>
    </row>
    <row r="535" spans="1:19" ht="81" x14ac:dyDescent="0.25">
      <c r="A535" s="17" t="s">
        <v>2310</v>
      </c>
      <c r="B535" s="7" t="s">
        <v>2311</v>
      </c>
      <c r="C535" s="7" t="s">
        <v>2312</v>
      </c>
      <c r="D535" s="7" t="s">
        <v>2313</v>
      </c>
      <c r="E535" s="7" t="s">
        <v>2314</v>
      </c>
      <c r="F535" s="7" t="s">
        <v>289</v>
      </c>
      <c r="G535" s="7" t="s">
        <v>289</v>
      </c>
      <c r="H535" s="8">
        <v>500</v>
      </c>
      <c r="I535" s="7"/>
      <c r="J535" s="7"/>
      <c r="K535" s="7"/>
      <c r="L535" s="8"/>
      <c r="M535" s="8"/>
      <c r="N535" s="7"/>
      <c r="O535" s="7"/>
      <c r="P535" s="7" t="s">
        <v>87</v>
      </c>
      <c r="Q535" s="9">
        <v>46094</v>
      </c>
      <c r="R535" s="7" t="s">
        <v>290</v>
      </c>
      <c r="S535" s="10" t="s">
        <v>2315</v>
      </c>
    </row>
    <row r="536" spans="1:19" ht="81" x14ac:dyDescent="0.25">
      <c r="A536" s="17" t="s">
        <v>2316</v>
      </c>
      <c r="B536" s="7" t="s">
        <v>2317</v>
      </c>
      <c r="C536" s="7" t="s">
        <v>539</v>
      </c>
      <c r="D536" s="7" t="s">
        <v>2318</v>
      </c>
      <c r="E536" s="7" t="s">
        <v>433</v>
      </c>
      <c r="F536" s="7" t="s">
        <v>25</v>
      </c>
      <c r="G536" s="7" t="s">
        <v>25</v>
      </c>
      <c r="H536" s="8">
        <v>2800</v>
      </c>
      <c r="I536" s="7"/>
      <c r="J536" s="7"/>
      <c r="K536" s="7"/>
      <c r="L536" s="8"/>
      <c r="M536" s="8"/>
      <c r="N536" s="7"/>
      <c r="O536" s="7"/>
      <c r="P536" s="7" t="s">
        <v>87</v>
      </c>
      <c r="Q536" s="9">
        <v>46076</v>
      </c>
      <c r="R536" s="7" t="s">
        <v>290</v>
      </c>
      <c r="S536" s="10" t="s">
        <v>2319</v>
      </c>
    </row>
    <row r="537" spans="1:19" ht="81" x14ac:dyDescent="0.25">
      <c r="A537" s="17" t="s">
        <v>2320</v>
      </c>
      <c r="B537" s="7" t="s">
        <v>2321</v>
      </c>
      <c r="C537" s="7" t="s">
        <v>2322</v>
      </c>
      <c r="D537" s="7" t="s">
        <v>2323</v>
      </c>
      <c r="E537" s="7" t="s">
        <v>2324</v>
      </c>
      <c r="F537" s="7" t="s">
        <v>308</v>
      </c>
      <c r="G537" s="7" t="s">
        <v>308</v>
      </c>
      <c r="H537" s="8">
        <v>1890</v>
      </c>
      <c r="I537" s="7"/>
      <c r="J537" s="7"/>
      <c r="K537" s="7"/>
      <c r="L537" s="8"/>
      <c r="M537" s="8"/>
      <c r="N537" s="7"/>
      <c r="O537" s="7"/>
      <c r="P537" s="7" t="s">
        <v>87</v>
      </c>
      <c r="Q537" s="9">
        <v>46097</v>
      </c>
      <c r="R537" s="7" t="s">
        <v>290</v>
      </c>
      <c r="S537" s="10" t="s">
        <v>2325</v>
      </c>
    </row>
    <row r="538" spans="1:19" ht="67.5" x14ac:dyDescent="0.25">
      <c r="A538" s="17" t="s">
        <v>2326</v>
      </c>
      <c r="B538" s="7" t="s">
        <v>2327</v>
      </c>
      <c r="C538" s="7" t="s">
        <v>298</v>
      </c>
      <c r="D538" s="7" t="s">
        <v>2328</v>
      </c>
      <c r="E538" s="7" t="s">
        <v>300</v>
      </c>
      <c r="F538" s="7" t="s">
        <v>24</v>
      </c>
      <c r="G538" s="7" t="s">
        <v>24</v>
      </c>
      <c r="H538" s="8">
        <v>1</v>
      </c>
      <c r="I538" s="7"/>
      <c r="J538" s="7"/>
      <c r="K538" s="7"/>
      <c r="L538" s="8"/>
      <c r="M538" s="8"/>
      <c r="N538" s="7"/>
      <c r="O538" s="7"/>
      <c r="P538" s="7" t="s">
        <v>87</v>
      </c>
      <c r="Q538" s="9">
        <v>46076</v>
      </c>
      <c r="R538" s="7" t="s">
        <v>290</v>
      </c>
      <c r="S538" s="10" t="s">
        <v>2329</v>
      </c>
    </row>
    <row r="539" spans="1:19" ht="54" x14ac:dyDescent="0.25">
      <c r="A539" s="58" t="s">
        <v>2330</v>
      </c>
      <c r="B539" s="7" t="s">
        <v>2331</v>
      </c>
      <c r="C539" s="7" t="s">
        <v>437</v>
      </c>
      <c r="D539" s="7" t="s">
        <v>2332</v>
      </c>
      <c r="E539" s="7" t="s">
        <v>439</v>
      </c>
      <c r="F539" s="7" t="s">
        <v>289</v>
      </c>
      <c r="G539" s="7" t="s">
        <v>289</v>
      </c>
      <c r="H539" s="8">
        <v>1</v>
      </c>
      <c r="I539" s="7"/>
      <c r="J539" s="7"/>
      <c r="K539" s="7"/>
      <c r="L539" s="8"/>
      <c r="M539" s="8"/>
      <c r="N539" s="7"/>
      <c r="O539" s="7"/>
      <c r="P539" s="7" t="s">
        <v>87</v>
      </c>
      <c r="Q539" s="9">
        <v>46105</v>
      </c>
      <c r="R539" s="7" t="s">
        <v>290</v>
      </c>
      <c r="S539" s="10" t="s">
        <v>2333</v>
      </c>
    </row>
    <row r="540" spans="1:19" ht="81" x14ac:dyDescent="0.25">
      <c r="A540" s="17" t="s">
        <v>2334</v>
      </c>
      <c r="B540" s="7" t="s">
        <v>2335</v>
      </c>
      <c r="C540" s="7" t="s">
        <v>1040</v>
      </c>
      <c r="D540" s="7" t="s">
        <v>2336</v>
      </c>
      <c r="E540" s="7" t="s">
        <v>2337</v>
      </c>
      <c r="F540" s="7" t="s">
        <v>25</v>
      </c>
      <c r="G540" s="7" t="s">
        <v>25</v>
      </c>
      <c r="H540" s="8">
        <v>1100</v>
      </c>
      <c r="I540" s="7"/>
      <c r="J540" s="7"/>
      <c r="K540" s="7"/>
      <c r="L540" s="8"/>
      <c r="M540" s="8"/>
      <c r="N540" s="7"/>
      <c r="O540" s="7"/>
      <c r="P540" s="7" t="s">
        <v>87</v>
      </c>
      <c r="Q540" s="9">
        <v>46097</v>
      </c>
      <c r="R540" s="7" t="s">
        <v>290</v>
      </c>
      <c r="S540" s="10" t="s">
        <v>2338</v>
      </c>
    </row>
    <row r="541" spans="1:19" ht="27" x14ac:dyDescent="0.25">
      <c r="A541" s="17" t="s">
        <v>2339</v>
      </c>
      <c r="B541" s="7" t="s">
        <v>2340</v>
      </c>
      <c r="C541" s="7" t="s">
        <v>348</v>
      </c>
      <c r="D541" s="7"/>
      <c r="E541" s="7"/>
      <c r="F541" s="7" t="s">
        <v>289</v>
      </c>
      <c r="G541" s="7" t="s">
        <v>289</v>
      </c>
      <c r="H541" s="8"/>
      <c r="I541" s="7"/>
      <c r="J541" s="7"/>
      <c r="K541" s="7"/>
      <c r="L541" s="8"/>
      <c r="M541" s="8"/>
      <c r="N541" s="7"/>
      <c r="O541" s="7"/>
      <c r="P541" s="7" t="s">
        <v>87</v>
      </c>
      <c r="Q541" s="9">
        <v>46184</v>
      </c>
      <c r="R541" s="7" t="s">
        <v>290</v>
      </c>
      <c r="S541" s="10" t="s">
        <v>2341</v>
      </c>
    </row>
    <row r="542" spans="1:19" ht="54" x14ac:dyDescent="0.25">
      <c r="A542" s="17" t="s">
        <v>2342</v>
      </c>
      <c r="B542" s="7" t="s">
        <v>2343</v>
      </c>
      <c r="C542" s="7" t="s">
        <v>437</v>
      </c>
      <c r="D542" s="59" t="s">
        <v>2344</v>
      </c>
      <c r="E542" s="7" t="s">
        <v>439</v>
      </c>
      <c r="F542" s="7" t="s">
        <v>289</v>
      </c>
      <c r="G542" s="7" t="s">
        <v>289</v>
      </c>
      <c r="H542" s="8">
        <v>1</v>
      </c>
      <c r="I542" s="7"/>
      <c r="J542" s="7"/>
      <c r="K542" s="7"/>
      <c r="L542" s="8"/>
      <c r="M542" s="8"/>
      <c r="N542" s="7"/>
      <c r="O542" s="7"/>
      <c r="P542" s="7" t="s">
        <v>87</v>
      </c>
      <c r="Q542" s="9">
        <v>46121</v>
      </c>
      <c r="R542" s="7" t="s">
        <v>290</v>
      </c>
      <c r="S542" s="10" t="s">
        <v>2345</v>
      </c>
    </row>
    <row r="543" spans="1:19" ht="81" x14ac:dyDescent="0.25">
      <c r="A543" s="17" t="s">
        <v>2346</v>
      </c>
      <c r="B543" s="7" t="s">
        <v>2347</v>
      </c>
      <c r="C543" s="7" t="s">
        <v>1101</v>
      </c>
      <c r="D543" s="7" t="s">
        <v>2348</v>
      </c>
      <c r="E543" s="7" t="s">
        <v>2349</v>
      </c>
      <c r="F543" s="7" t="s">
        <v>289</v>
      </c>
      <c r="G543" s="7" t="s">
        <v>289</v>
      </c>
      <c r="H543" s="8">
        <v>20</v>
      </c>
      <c r="I543" s="7"/>
      <c r="J543" s="7"/>
      <c r="K543" s="7"/>
      <c r="L543" s="8"/>
      <c r="M543" s="8"/>
      <c r="N543" s="7"/>
      <c r="O543" s="7"/>
      <c r="P543" s="7" t="s">
        <v>87</v>
      </c>
      <c r="Q543" s="9">
        <v>46097</v>
      </c>
      <c r="R543" s="7" t="s">
        <v>290</v>
      </c>
      <c r="S543" s="10" t="s">
        <v>2350</v>
      </c>
    </row>
    <row r="544" spans="1:19" ht="27" x14ac:dyDescent="0.25">
      <c r="A544" s="17" t="s">
        <v>2351</v>
      </c>
      <c r="B544" s="7" t="s">
        <v>2352</v>
      </c>
      <c r="C544" s="7" t="s">
        <v>487</v>
      </c>
      <c r="D544" s="7"/>
      <c r="E544" s="7"/>
      <c r="F544" s="7" t="s">
        <v>289</v>
      </c>
      <c r="G544" s="7" t="s">
        <v>289</v>
      </c>
      <c r="H544" s="8"/>
      <c r="I544" s="7"/>
      <c r="J544" s="7"/>
      <c r="K544" s="7"/>
      <c r="L544" s="8"/>
      <c r="M544" s="8"/>
      <c r="N544" s="7"/>
      <c r="O544" s="7"/>
      <c r="P544" s="7" t="s">
        <v>87</v>
      </c>
      <c r="Q544" s="9">
        <v>46182</v>
      </c>
      <c r="R544" s="7" t="s">
        <v>290</v>
      </c>
      <c r="S544" s="10" t="s">
        <v>2353</v>
      </c>
    </row>
    <row r="545" spans="1:19" ht="40.5" x14ac:dyDescent="0.25">
      <c r="A545" s="17" t="s">
        <v>2354</v>
      </c>
      <c r="B545" s="7" t="s">
        <v>2355</v>
      </c>
      <c r="C545" s="7" t="s">
        <v>288</v>
      </c>
      <c r="D545" s="7"/>
      <c r="E545" s="7"/>
      <c r="F545" s="7" t="s">
        <v>289</v>
      </c>
      <c r="G545" s="7" t="s">
        <v>289</v>
      </c>
      <c r="H545" s="8"/>
      <c r="I545" s="7"/>
      <c r="J545" s="7"/>
      <c r="K545" s="7"/>
      <c r="L545" s="8"/>
      <c r="M545" s="8"/>
      <c r="N545" s="7"/>
      <c r="O545" s="7"/>
      <c r="P545" s="7" t="s">
        <v>87</v>
      </c>
      <c r="Q545" s="9">
        <v>46143</v>
      </c>
      <c r="R545" s="7" t="s">
        <v>290</v>
      </c>
      <c r="S545" s="10" t="s">
        <v>2356</v>
      </c>
    </row>
    <row r="546" spans="1:19" ht="40.5" x14ac:dyDescent="0.25">
      <c r="A546" s="17" t="s">
        <v>2357</v>
      </c>
      <c r="B546" s="7" t="s">
        <v>2358</v>
      </c>
      <c r="C546" s="7" t="s">
        <v>288</v>
      </c>
      <c r="D546" s="7"/>
      <c r="E546" s="7"/>
      <c r="F546" s="7" t="s">
        <v>289</v>
      </c>
      <c r="G546" s="7" t="s">
        <v>289</v>
      </c>
      <c r="H546" s="8"/>
      <c r="I546" s="7"/>
      <c r="J546" s="7"/>
      <c r="K546" s="7"/>
      <c r="L546" s="8"/>
      <c r="M546" s="8"/>
      <c r="N546" s="7"/>
      <c r="O546" s="7"/>
      <c r="P546" s="7" t="s">
        <v>87</v>
      </c>
      <c r="Q546" s="9">
        <v>46136</v>
      </c>
      <c r="R546" s="7" t="s">
        <v>290</v>
      </c>
      <c r="S546" s="10" t="s">
        <v>2359</v>
      </c>
    </row>
    <row r="547" spans="1:19" ht="40.5" x14ac:dyDescent="0.25">
      <c r="A547" s="17" t="s">
        <v>2360</v>
      </c>
      <c r="B547" s="7" t="s">
        <v>2361</v>
      </c>
      <c r="C547" s="7" t="s">
        <v>378</v>
      </c>
      <c r="D547" s="7"/>
      <c r="E547" s="7"/>
      <c r="F547" s="7" t="s">
        <v>289</v>
      </c>
      <c r="G547" s="7" t="s">
        <v>289</v>
      </c>
      <c r="H547" s="8"/>
      <c r="I547" s="7"/>
      <c r="J547" s="7"/>
      <c r="K547" s="7"/>
      <c r="L547" s="8"/>
      <c r="M547" s="8"/>
      <c r="N547" s="7"/>
      <c r="O547" s="7"/>
      <c r="P547" s="7" t="s">
        <v>87</v>
      </c>
      <c r="Q547" s="9">
        <v>46221</v>
      </c>
      <c r="R547" s="7" t="s">
        <v>290</v>
      </c>
      <c r="S547" s="10" t="s">
        <v>2362</v>
      </c>
    </row>
    <row r="548" spans="1:19" ht="81" x14ac:dyDescent="0.25">
      <c r="A548" s="17" t="s">
        <v>2363</v>
      </c>
      <c r="B548" s="7" t="s">
        <v>2364</v>
      </c>
      <c r="C548" s="7" t="s">
        <v>500</v>
      </c>
      <c r="D548" s="7" t="s">
        <v>2365</v>
      </c>
      <c r="E548" s="7" t="s">
        <v>361</v>
      </c>
      <c r="F548" s="7" t="s">
        <v>25</v>
      </c>
      <c r="G548" s="7" t="s">
        <v>25</v>
      </c>
      <c r="H548" s="8">
        <v>1000</v>
      </c>
      <c r="I548" s="7"/>
      <c r="J548" s="7"/>
      <c r="K548" s="7"/>
      <c r="L548" s="8"/>
      <c r="M548" s="8"/>
      <c r="N548" s="7"/>
      <c r="O548" s="7"/>
      <c r="P548" s="7" t="s">
        <v>87</v>
      </c>
      <c r="Q548" s="9">
        <v>46126</v>
      </c>
      <c r="R548" s="7" t="s">
        <v>290</v>
      </c>
      <c r="S548" s="10" t="s">
        <v>2366</v>
      </c>
    </row>
    <row r="549" spans="1:19" ht="81" x14ac:dyDescent="0.25">
      <c r="A549" s="17" t="s">
        <v>2367</v>
      </c>
      <c r="B549" s="7" t="s">
        <v>2368</v>
      </c>
      <c r="C549" s="7" t="s">
        <v>500</v>
      </c>
      <c r="D549" s="7" t="s">
        <v>2369</v>
      </c>
      <c r="E549" s="7" t="s">
        <v>1094</v>
      </c>
      <c r="F549" s="7" t="s">
        <v>25</v>
      </c>
      <c r="G549" s="7" t="s">
        <v>25</v>
      </c>
      <c r="H549" s="8">
        <v>2000</v>
      </c>
      <c r="I549" s="7"/>
      <c r="J549" s="7"/>
      <c r="K549" s="7"/>
      <c r="L549" s="8"/>
      <c r="M549" s="8"/>
      <c r="N549" s="7"/>
      <c r="O549" s="7"/>
      <c r="P549" s="7" t="s">
        <v>87</v>
      </c>
      <c r="Q549" s="9">
        <v>46178</v>
      </c>
      <c r="R549" s="7" t="s">
        <v>290</v>
      </c>
      <c r="S549" s="10" t="s">
        <v>2370</v>
      </c>
    </row>
    <row r="550" spans="1:19" ht="81" x14ac:dyDescent="0.25">
      <c r="A550" s="17" t="s">
        <v>2371</v>
      </c>
      <c r="B550" s="7" t="s">
        <v>2372</v>
      </c>
      <c r="C550" s="7" t="s">
        <v>774</v>
      </c>
      <c r="D550" s="7" t="s">
        <v>2373</v>
      </c>
      <c r="E550" s="7" t="s">
        <v>361</v>
      </c>
      <c r="F550" s="7" t="s">
        <v>25</v>
      </c>
      <c r="G550" s="7" t="s">
        <v>25</v>
      </c>
      <c r="H550" s="8">
        <v>1000</v>
      </c>
      <c r="I550" s="7"/>
      <c r="J550" s="7"/>
      <c r="K550" s="7"/>
      <c r="L550" s="8"/>
      <c r="M550" s="8"/>
      <c r="N550" s="7"/>
      <c r="O550" s="7"/>
      <c r="P550" s="7" t="s">
        <v>87</v>
      </c>
      <c r="Q550" s="9">
        <v>46111</v>
      </c>
      <c r="R550" s="7" t="s">
        <v>290</v>
      </c>
      <c r="S550" s="10" t="s">
        <v>2374</v>
      </c>
    </row>
    <row r="551" spans="1:19" ht="67.5" x14ac:dyDescent="0.25">
      <c r="A551" s="17" t="s">
        <v>2375</v>
      </c>
      <c r="B551" s="7" t="s">
        <v>2376</v>
      </c>
      <c r="C551" s="7" t="s">
        <v>348</v>
      </c>
      <c r="D551" s="7" t="s">
        <v>2377</v>
      </c>
      <c r="E551" s="7" t="s">
        <v>355</v>
      </c>
      <c r="F551" s="7" t="s">
        <v>289</v>
      </c>
      <c r="G551" s="7" t="s">
        <v>289</v>
      </c>
      <c r="H551" s="8">
        <v>12</v>
      </c>
      <c r="I551" s="7"/>
      <c r="J551" s="7"/>
      <c r="K551" s="7"/>
      <c r="L551" s="8"/>
      <c r="M551" s="8"/>
      <c r="N551" s="7"/>
      <c r="O551" s="7"/>
      <c r="P551" s="7" t="s">
        <v>87</v>
      </c>
      <c r="Q551" s="9">
        <v>46126</v>
      </c>
      <c r="R551" s="7" t="s">
        <v>290</v>
      </c>
      <c r="S551" s="10" t="s">
        <v>2378</v>
      </c>
    </row>
    <row r="552" spans="1:19" ht="67.5" x14ac:dyDescent="0.25">
      <c r="A552" s="17" t="s">
        <v>2379</v>
      </c>
      <c r="B552" s="7" t="s">
        <v>2380</v>
      </c>
      <c r="C552" s="7" t="s">
        <v>348</v>
      </c>
      <c r="D552" s="7" t="s">
        <v>2381</v>
      </c>
      <c r="E552" s="7" t="s">
        <v>355</v>
      </c>
      <c r="F552" s="7" t="s">
        <v>289</v>
      </c>
      <c r="G552" s="7" t="s">
        <v>289</v>
      </c>
      <c r="H552" s="8">
        <v>12</v>
      </c>
      <c r="I552" s="7"/>
      <c r="J552" s="7"/>
      <c r="K552" s="7"/>
      <c r="L552" s="8"/>
      <c r="M552" s="8"/>
      <c r="N552" s="7"/>
      <c r="O552" s="7"/>
      <c r="P552" s="7" t="s">
        <v>87</v>
      </c>
      <c r="Q552" s="9">
        <v>46126</v>
      </c>
      <c r="R552" s="7" t="s">
        <v>290</v>
      </c>
      <c r="S552" s="10" t="s">
        <v>2382</v>
      </c>
    </row>
    <row r="553" spans="1:19" ht="67.5" x14ac:dyDescent="0.25">
      <c r="A553" s="17" t="s">
        <v>2383</v>
      </c>
      <c r="B553" s="7" t="s">
        <v>2384</v>
      </c>
      <c r="C553" s="7" t="s">
        <v>2213</v>
      </c>
      <c r="D553" s="7" t="s">
        <v>2385</v>
      </c>
      <c r="E553" s="7" t="s">
        <v>300</v>
      </c>
      <c r="F553" s="7" t="s">
        <v>289</v>
      </c>
      <c r="G553" s="7" t="s">
        <v>289</v>
      </c>
      <c r="H553" s="8">
        <v>1</v>
      </c>
      <c r="I553" s="7"/>
      <c r="J553" s="7"/>
      <c r="K553" s="7"/>
      <c r="L553" s="8"/>
      <c r="M553" s="8"/>
      <c r="N553" s="7"/>
      <c r="O553" s="7"/>
      <c r="P553" s="7" t="s">
        <v>87</v>
      </c>
      <c r="Q553" s="9">
        <v>46097</v>
      </c>
      <c r="R553" s="7" t="s">
        <v>290</v>
      </c>
      <c r="S553" s="10" t="s">
        <v>2386</v>
      </c>
    </row>
    <row r="554" spans="1:19" ht="40.5" x14ac:dyDescent="0.25">
      <c r="A554" s="17" t="s">
        <v>2387</v>
      </c>
      <c r="B554" s="7" t="s">
        <v>2388</v>
      </c>
      <c r="C554" s="7" t="s">
        <v>288</v>
      </c>
      <c r="D554" s="7"/>
      <c r="E554" s="7"/>
      <c r="F554" s="7" t="s">
        <v>289</v>
      </c>
      <c r="G554" s="7" t="s">
        <v>289</v>
      </c>
      <c r="H554" s="8"/>
      <c r="I554" s="7"/>
      <c r="J554" s="7"/>
      <c r="K554" s="7"/>
      <c r="L554" s="8"/>
      <c r="M554" s="8"/>
      <c r="N554" s="7"/>
      <c r="O554" s="7"/>
      <c r="P554" s="7" t="s">
        <v>87</v>
      </c>
      <c r="Q554" s="9">
        <v>46213</v>
      </c>
      <c r="R554" s="7" t="s">
        <v>290</v>
      </c>
      <c r="S554" s="10" t="s">
        <v>2389</v>
      </c>
    </row>
    <row r="555" spans="1:19" ht="81" x14ac:dyDescent="0.25">
      <c r="A555" s="17" t="s">
        <v>2390</v>
      </c>
      <c r="B555" s="7" t="s">
        <v>2391</v>
      </c>
      <c r="C555" s="7" t="s">
        <v>500</v>
      </c>
      <c r="D555" s="7" t="s">
        <v>2392</v>
      </c>
      <c r="E555" s="7" t="s">
        <v>361</v>
      </c>
      <c r="F555" s="7" t="s">
        <v>25</v>
      </c>
      <c r="G555" s="7" t="s">
        <v>25</v>
      </c>
      <c r="H555" s="8">
        <v>1000</v>
      </c>
      <c r="I555" s="7"/>
      <c r="J555" s="7"/>
      <c r="K555" s="7"/>
      <c r="L555" s="8"/>
      <c r="M555" s="8"/>
      <c r="N555" s="7"/>
      <c r="O555" s="7"/>
      <c r="P555" s="7" t="s">
        <v>87</v>
      </c>
      <c r="Q555" s="9">
        <v>46076</v>
      </c>
      <c r="R555" s="7" t="s">
        <v>290</v>
      </c>
      <c r="S555" s="10" t="s">
        <v>2393</v>
      </c>
    </row>
    <row r="556" spans="1:19" ht="40.5" x14ac:dyDescent="0.25">
      <c r="A556" s="17" t="s">
        <v>2394</v>
      </c>
      <c r="B556" s="7" t="s">
        <v>2395</v>
      </c>
      <c r="C556" s="7" t="s">
        <v>378</v>
      </c>
      <c r="D556" s="7"/>
      <c r="E556" s="7"/>
      <c r="F556" s="7" t="s">
        <v>289</v>
      </c>
      <c r="G556" s="7" t="s">
        <v>289</v>
      </c>
      <c r="H556" s="8"/>
      <c r="I556" s="7"/>
      <c r="J556" s="7"/>
      <c r="K556" s="7"/>
      <c r="L556" s="8"/>
      <c r="M556" s="8"/>
      <c r="N556" s="7"/>
      <c r="O556" s="7"/>
      <c r="P556" s="7" t="s">
        <v>87</v>
      </c>
      <c r="Q556" s="9">
        <v>46221</v>
      </c>
      <c r="R556" s="7" t="s">
        <v>290</v>
      </c>
      <c r="S556" s="10" t="s">
        <v>2396</v>
      </c>
    </row>
    <row r="557" spans="1:19" ht="40.5" x14ac:dyDescent="0.25">
      <c r="A557" s="17" t="s">
        <v>2397</v>
      </c>
      <c r="B557" s="7" t="s">
        <v>2398</v>
      </c>
      <c r="C557" s="7" t="s">
        <v>596</v>
      </c>
      <c r="D557" s="7"/>
      <c r="E557" s="7"/>
      <c r="F557" s="7" t="s">
        <v>289</v>
      </c>
      <c r="G557" s="7" t="s">
        <v>289</v>
      </c>
      <c r="H557" s="8"/>
      <c r="I557" s="7"/>
      <c r="J557" s="7"/>
      <c r="K557" s="7"/>
      <c r="L557" s="8"/>
      <c r="M557" s="8"/>
      <c r="N557" s="7"/>
      <c r="O557" s="7"/>
      <c r="P557" s="7" t="s">
        <v>87</v>
      </c>
      <c r="Q557" s="9">
        <v>46214</v>
      </c>
      <c r="R557" s="7" t="s">
        <v>290</v>
      </c>
      <c r="S557" s="10" t="s">
        <v>2399</v>
      </c>
    </row>
    <row r="558" spans="1:19" ht="40.5" x14ac:dyDescent="0.25">
      <c r="A558" s="17" t="s">
        <v>2400</v>
      </c>
      <c r="B558" s="7" t="s">
        <v>2401</v>
      </c>
      <c r="C558" s="7" t="s">
        <v>1138</v>
      </c>
      <c r="D558" s="7"/>
      <c r="E558" s="7"/>
      <c r="F558" s="7" t="s">
        <v>25</v>
      </c>
      <c r="G558" s="7" t="s">
        <v>25</v>
      </c>
      <c r="H558" s="8"/>
      <c r="I558" s="7"/>
      <c r="J558" s="7"/>
      <c r="K558" s="7"/>
      <c r="L558" s="8"/>
      <c r="M558" s="8"/>
      <c r="N558" s="7"/>
      <c r="O558" s="7"/>
      <c r="P558" s="7" t="s">
        <v>87</v>
      </c>
      <c r="Q558" s="9">
        <v>46094</v>
      </c>
      <c r="R558" s="7" t="s">
        <v>290</v>
      </c>
      <c r="S558" s="10" t="s">
        <v>2402</v>
      </c>
    </row>
    <row r="559" spans="1:19" ht="81" x14ac:dyDescent="0.25">
      <c r="A559" s="17" t="s">
        <v>2403</v>
      </c>
      <c r="B559" s="7" t="s">
        <v>2404</v>
      </c>
      <c r="C559" s="7" t="s">
        <v>411</v>
      </c>
      <c r="D559" s="7" t="s">
        <v>2405</v>
      </c>
      <c r="E559" s="7" t="s">
        <v>361</v>
      </c>
      <c r="F559" s="7" t="s">
        <v>25</v>
      </c>
      <c r="G559" s="7" t="s">
        <v>25</v>
      </c>
      <c r="H559" s="8">
        <v>1000</v>
      </c>
      <c r="I559" s="7"/>
      <c r="J559" s="7"/>
      <c r="K559" s="7"/>
      <c r="L559" s="8"/>
      <c r="M559" s="8"/>
      <c r="N559" s="7"/>
      <c r="O559" s="7"/>
      <c r="P559" s="7" t="s">
        <v>87</v>
      </c>
      <c r="Q559" s="9">
        <v>46172</v>
      </c>
      <c r="R559" s="7" t="s">
        <v>290</v>
      </c>
      <c r="S559" s="10" t="s">
        <v>2406</v>
      </c>
    </row>
    <row r="560" spans="1:19" ht="81" x14ac:dyDescent="0.25">
      <c r="A560" s="17" t="s">
        <v>2407</v>
      </c>
      <c r="B560" s="7" t="s">
        <v>2408</v>
      </c>
      <c r="C560" s="7" t="s">
        <v>1040</v>
      </c>
      <c r="D560" s="7" t="s">
        <v>2409</v>
      </c>
      <c r="E560" s="7" t="s">
        <v>2410</v>
      </c>
      <c r="F560" s="7" t="s">
        <v>25</v>
      </c>
      <c r="G560" s="7" t="s">
        <v>25</v>
      </c>
      <c r="H560" s="8">
        <v>750</v>
      </c>
      <c r="I560" s="7"/>
      <c r="J560" s="7"/>
      <c r="K560" s="7"/>
      <c r="L560" s="8"/>
      <c r="M560" s="8"/>
      <c r="N560" s="7"/>
      <c r="O560" s="7"/>
      <c r="P560" s="7" t="s">
        <v>87</v>
      </c>
      <c r="Q560" s="9">
        <v>46091</v>
      </c>
      <c r="R560" s="7" t="s">
        <v>290</v>
      </c>
      <c r="S560" s="10" t="s">
        <v>2411</v>
      </c>
    </row>
    <row r="561" spans="1:19" ht="27" x14ac:dyDescent="0.25">
      <c r="A561" s="17" t="s">
        <v>2412</v>
      </c>
      <c r="B561" s="7" t="s">
        <v>2413</v>
      </c>
      <c r="C561" s="7" t="s">
        <v>680</v>
      </c>
      <c r="D561" s="7"/>
      <c r="E561" s="7"/>
      <c r="F561" s="7" t="s">
        <v>289</v>
      </c>
      <c r="G561" s="7" t="s">
        <v>289</v>
      </c>
      <c r="H561" s="8"/>
      <c r="I561" s="7"/>
      <c r="J561" s="7"/>
      <c r="K561" s="7"/>
      <c r="L561" s="8"/>
      <c r="M561" s="8"/>
      <c r="N561" s="7"/>
      <c r="O561" s="7"/>
      <c r="P561" s="7" t="s">
        <v>87</v>
      </c>
      <c r="Q561" s="9">
        <v>46221</v>
      </c>
      <c r="R561" s="7" t="s">
        <v>290</v>
      </c>
      <c r="S561" s="10" t="s">
        <v>2414</v>
      </c>
    </row>
    <row r="562" spans="1:19" ht="27" x14ac:dyDescent="0.25">
      <c r="A562" s="17" t="s">
        <v>2415</v>
      </c>
      <c r="B562" s="7" t="s">
        <v>2416</v>
      </c>
      <c r="C562" s="7" t="s">
        <v>680</v>
      </c>
      <c r="D562" s="7"/>
      <c r="E562" s="7"/>
      <c r="F562" s="7" t="s">
        <v>289</v>
      </c>
      <c r="G562" s="7" t="s">
        <v>289</v>
      </c>
      <c r="H562" s="8"/>
      <c r="I562" s="7"/>
      <c r="J562" s="7"/>
      <c r="K562" s="7"/>
      <c r="L562" s="8"/>
      <c r="M562" s="8"/>
      <c r="N562" s="7"/>
      <c r="O562" s="7"/>
      <c r="P562" s="7" t="s">
        <v>87</v>
      </c>
      <c r="Q562" s="9">
        <v>46221</v>
      </c>
      <c r="R562" s="7" t="s">
        <v>290</v>
      </c>
      <c r="S562" s="10" t="s">
        <v>2417</v>
      </c>
    </row>
    <row r="563" spans="1:19" ht="27" x14ac:dyDescent="0.25">
      <c r="A563" s="17" t="s">
        <v>2418</v>
      </c>
      <c r="B563" s="7" t="s">
        <v>2419</v>
      </c>
      <c r="C563" s="7" t="s">
        <v>680</v>
      </c>
      <c r="D563" s="7"/>
      <c r="E563" s="7"/>
      <c r="F563" s="7" t="s">
        <v>289</v>
      </c>
      <c r="G563" s="7" t="s">
        <v>289</v>
      </c>
      <c r="H563" s="8"/>
      <c r="I563" s="7"/>
      <c r="J563" s="7"/>
      <c r="K563" s="7"/>
      <c r="L563" s="8"/>
      <c r="M563" s="8"/>
      <c r="N563" s="7"/>
      <c r="O563" s="7"/>
      <c r="P563" s="7" t="s">
        <v>87</v>
      </c>
      <c r="Q563" s="9">
        <v>46221</v>
      </c>
      <c r="R563" s="7" t="s">
        <v>290</v>
      </c>
      <c r="S563" s="10" t="s">
        <v>2420</v>
      </c>
    </row>
    <row r="564" spans="1:19" ht="81" x14ac:dyDescent="0.25">
      <c r="A564" s="17" t="s">
        <v>2421</v>
      </c>
      <c r="B564" s="7" t="s">
        <v>2422</v>
      </c>
      <c r="C564" s="7" t="s">
        <v>420</v>
      </c>
      <c r="D564" s="7" t="s">
        <v>2423</v>
      </c>
      <c r="E564" s="7" t="s">
        <v>2424</v>
      </c>
      <c r="F564" s="7" t="s">
        <v>25</v>
      </c>
      <c r="G564" s="7" t="s">
        <v>25</v>
      </c>
      <c r="H564" s="8">
        <v>100</v>
      </c>
      <c r="I564" s="7"/>
      <c r="J564" s="7"/>
      <c r="K564" s="7"/>
      <c r="L564" s="8"/>
      <c r="M564" s="8"/>
      <c r="N564" s="7"/>
      <c r="O564" s="7"/>
      <c r="P564" s="7" t="s">
        <v>87</v>
      </c>
      <c r="Q564" s="9">
        <v>46073</v>
      </c>
      <c r="R564" s="7" t="s">
        <v>290</v>
      </c>
      <c r="S564" s="10" t="s">
        <v>2425</v>
      </c>
    </row>
    <row r="565" spans="1:19" ht="81" x14ac:dyDescent="0.25">
      <c r="A565" s="17" t="s">
        <v>2426</v>
      </c>
      <c r="B565" s="7" t="s">
        <v>2427</v>
      </c>
      <c r="C565" s="7" t="s">
        <v>1050</v>
      </c>
      <c r="D565" s="7" t="s">
        <v>2428</v>
      </c>
      <c r="E565" s="7" t="s">
        <v>523</v>
      </c>
      <c r="F565" s="7" t="s">
        <v>25</v>
      </c>
      <c r="G565" s="7" t="s">
        <v>25</v>
      </c>
      <c r="H565" s="8">
        <v>500</v>
      </c>
      <c r="I565" s="7"/>
      <c r="J565" s="7"/>
      <c r="K565" s="7"/>
      <c r="L565" s="8"/>
      <c r="M565" s="8"/>
      <c r="N565" s="7"/>
      <c r="O565" s="7"/>
      <c r="P565" s="7" t="s">
        <v>87</v>
      </c>
      <c r="Q565" s="9">
        <v>46097</v>
      </c>
      <c r="R565" s="7" t="s">
        <v>290</v>
      </c>
      <c r="S565" s="10" t="s">
        <v>2429</v>
      </c>
    </row>
    <row r="566" spans="1:19" ht="40.5" x14ac:dyDescent="0.25">
      <c r="A566" s="17" t="s">
        <v>2430</v>
      </c>
      <c r="B566" s="7" t="s">
        <v>2431</v>
      </c>
      <c r="C566" s="7" t="s">
        <v>604</v>
      </c>
      <c r="D566" s="7"/>
      <c r="E566" s="7"/>
      <c r="F566" s="7" t="s">
        <v>289</v>
      </c>
      <c r="G566" s="7" t="s">
        <v>289</v>
      </c>
      <c r="H566" s="8"/>
      <c r="I566" s="7"/>
      <c r="J566" s="7"/>
      <c r="K566" s="7"/>
      <c r="L566" s="8"/>
      <c r="M566" s="8"/>
      <c r="N566" s="7"/>
      <c r="O566" s="7"/>
      <c r="P566" s="7" t="s">
        <v>87</v>
      </c>
      <c r="Q566" s="9">
        <v>46192</v>
      </c>
      <c r="R566" s="7" t="s">
        <v>290</v>
      </c>
      <c r="S566" s="10" t="s">
        <v>2432</v>
      </c>
    </row>
    <row r="567" spans="1:19" ht="40.5" x14ac:dyDescent="0.25">
      <c r="A567" s="17" t="s">
        <v>2433</v>
      </c>
      <c r="B567" s="7" t="s">
        <v>2434</v>
      </c>
      <c r="C567" s="7" t="s">
        <v>1138</v>
      </c>
      <c r="D567" s="7"/>
      <c r="E567" s="7"/>
      <c r="F567" s="7" t="s">
        <v>289</v>
      </c>
      <c r="G567" s="7" t="s">
        <v>289</v>
      </c>
      <c r="H567" s="8"/>
      <c r="I567" s="7"/>
      <c r="J567" s="7"/>
      <c r="K567" s="7"/>
      <c r="L567" s="8"/>
      <c r="M567" s="8"/>
      <c r="N567" s="7"/>
      <c r="O567" s="7"/>
      <c r="P567" s="7" t="s">
        <v>87</v>
      </c>
      <c r="Q567" s="9">
        <v>46097</v>
      </c>
      <c r="R567" s="7" t="s">
        <v>290</v>
      </c>
      <c r="S567" s="10" t="s">
        <v>2435</v>
      </c>
    </row>
    <row r="568" spans="1:19" ht="67.5" x14ac:dyDescent="0.25">
      <c r="A568" s="17" t="s">
        <v>2436</v>
      </c>
      <c r="B568" s="7" t="s">
        <v>2437</v>
      </c>
      <c r="C568" s="7" t="s">
        <v>1138</v>
      </c>
      <c r="D568" s="7" t="s">
        <v>2438</v>
      </c>
      <c r="E568" s="7" t="s">
        <v>300</v>
      </c>
      <c r="F568" s="7" t="s">
        <v>289</v>
      </c>
      <c r="G568" s="7" t="s">
        <v>289</v>
      </c>
      <c r="H568" s="8">
        <v>1</v>
      </c>
      <c r="I568" s="7"/>
      <c r="J568" s="7"/>
      <c r="K568" s="7"/>
      <c r="L568" s="8"/>
      <c r="M568" s="8"/>
      <c r="N568" s="7"/>
      <c r="O568" s="7"/>
      <c r="P568" s="7" t="s">
        <v>87</v>
      </c>
      <c r="Q568" s="9">
        <v>46097</v>
      </c>
      <c r="R568" s="7" t="s">
        <v>290</v>
      </c>
      <c r="S568" s="10" t="s">
        <v>2439</v>
      </c>
    </row>
    <row r="569" spans="1:19" ht="67.5" x14ac:dyDescent="0.25">
      <c r="A569" s="17" t="s">
        <v>2440</v>
      </c>
      <c r="B569" s="7" t="s">
        <v>2441</v>
      </c>
      <c r="C569" s="7" t="s">
        <v>1138</v>
      </c>
      <c r="D569" s="7" t="s">
        <v>2442</v>
      </c>
      <c r="E569" s="7" t="s">
        <v>300</v>
      </c>
      <c r="F569" s="7" t="s">
        <v>289</v>
      </c>
      <c r="G569" s="7" t="s">
        <v>289</v>
      </c>
      <c r="H569" s="8">
        <v>1</v>
      </c>
      <c r="I569" s="7"/>
      <c r="J569" s="7"/>
      <c r="K569" s="7"/>
      <c r="L569" s="8"/>
      <c r="M569" s="8"/>
      <c r="N569" s="7"/>
      <c r="O569" s="7"/>
      <c r="P569" s="7" t="s">
        <v>87</v>
      </c>
      <c r="Q569" s="9">
        <v>46097</v>
      </c>
      <c r="R569" s="7" t="s">
        <v>290</v>
      </c>
      <c r="S569" s="10" t="s">
        <v>2443</v>
      </c>
    </row>
    <row r="570" spans="1:19" ht="40.5" x14ac:dyDescent="0.25">
      <c r="A570" s="17" t="s">
        <v>2444</v>
      </c>
      <c r="B570" s="7" t="s">
        <v>2445</v>
      </c>
      <c r="C570" s="7" t="s">
        <v>1138</v>
      </c>
      <c r="D570" s="7"/>
      <c r="E570" s="7"/>
      <c r="F570" s="7" t="s">
        <v>289</v>
      </c>
      <c r="G570" s="7" t="s">
        <v>289</v>
      </c>
      <c r="H570" s="8"/>
      <c r="I570" s="7"/>
      <c r="J570" s="7"/>
      <c r="K570" s="7"/>
      <c r="L570" s="8"/>
      <c r="M570" s="8"/>
      <c r="N570" s="7"/>
      <c r="O570" s="7"/>
      <c r="P570" s="7" t="s">
        <v>87</v>
      </c>
      <c r="Q570" s="9">
        <v>46097</v>
      </c>
      <c r="R570" s="7" t="s">
        <v>290</v>
      </c>
      <c r="S570" s="10" t="s">
        <v>2446</v>
      </c>
    </row>
    <row r="571" spans="1:19" ht="81" x14ac:dyDescent="0.25">
      <c r="A571" s="17" t="s">
        <v>2447</v>
      </c>
      <c r="B571" s="7" t="s">
        <v>2448</v>
      </c>
      <c r="C571" s="7" t="s">
        <v>745</v>
      </c>
      <c r="D571" s="7" t="s">
        <v>2449</v>
      </c>
      <c r="E571" s="7" t="s">
        <v>2450</v>
      </c>
      <c r="F571" s="7" t="s">
        <v>289</v>
      </c>
      <c r="G571" s="7" t="s">
        <v>289</v>
      </c>
      <c r="H571" s="8">
        <v>100</v>
      </c>
      <c r="I571" s="7"/>
      <c r="J571" s="7"/>
      <c r="K571" s="7"/>
      <c r="L571" s="8"/>
      <c r="M571" s="8"/>
      <c r="N571" s="7"/>
      <c r="O571" s="7"/>
      <c r="P571" s="7" t="s">
        <v>87</v>
      </c>
      <c r="Q571" s="9">
        <v>46094</v>
      </c>
      <c r="R571" s="7" t="s">
        <v>290</v>
      </c>
      <c r="S571" s="10" t="s">
        <v>2451</v>
      </c>
    </row>
    <row r="572" spans="1:19" ht="81" x14ac:dyDescent="0.25">
      <c r="A572" s="17" t="s">
        <v>2452</v>
      </c>
      <c r="B572" s="7" t="s">
        <v>2453</v>
      </c>
      <c r="C572" s="7" t="s">
        <v>2312</v>
      </c>
      <c r="D572" s="7" t="s">
        <v>2454</v>
      </c>
      <c r="E572" s="7" t="s">
        <v>2455</v>
      </c>
      <c r="F572" s="7" t="s">
        <v>289</v>
      </c>
      <c r="G572" s="7" t="s">
        <v>289</v>
      </c>
      <c r="H572" s="8">
        <v>120</v>
      </c>
      <c r="I572" s="7"/>
      <c r="J572" s="7"/>
      <c r="K572" s="7"/>
      <c r="L572" s="8"/>
      <c r="M572" s="8"/>
      <c r="N572" s="7"/>
      <c r="O572" s="7"/>
      <c r="P572" s="7" t="s">
        <v>87</v>
      </c>
      <c r="Q572" s="9">
        <v>46203</v>
      </c>
      <c r="R572" s="7" t="s">
        <v>290</v>
      </c>
      <c r="S572" s="10" t="s">
        <v>2456</v>
      </c>
    </row>
    <row r="573" spans="1:19" ht="81" x14ac:dyDescent="0.25">
      <c r="A573" s="17" t="s">
        <v>2457</v>
      </c>
      <c r="B573" s="7" t="s">
        <v>2458</v>
      </c>
      <c r="C573" s="7" t="s">
        <v>2312</v>
      </c>
      <c r="D573" s="7" t="s">
        <v>2459</v>
      </c>
      <c r="E573" s="7" t="s">
        <v>2460</v>
      </c>
      <c r="F573" s="7" t="s">
        <v>289</v>
      </c>
      <c r="G573" s="7" t="s">
        <v>289</v>
      </c>
      <c r="H573" s="8">
        <v>180</v>
      </c>
      <c r="I573" s="7"/>
      <c r="J573" s="7"/>
      <c r="K573" s="7"/>
      <c r="L573" s="8"/>
      <c r="M573" s="8"/>
      <c r="N573" s="7"/>
      <c r="O573" s="7"/>
      <c r="P573" s="7" t="s">
        <v>87</v>
      </c>
      <c r="Q573" s="9">
        <v>46203</v>
      </c>
      <c r="R573" s="7" t="s">
        <v>290</v>
      </c>
      <c r="S573" s="10" t="s">
        <v>2461</v>
      </c>
    </row>
    <row r="574" spans="1:19" ht="54" x14ac:dyDescent="0.25">
      <c r="A574" s="17" t="s">
        <v>2462</v>
      </c>
      <c r="B574" s="7" t="s">
        <v>2463</v>
      </c>
      <c r="C574" s="7" t="s">
        <v>294</v>
      </c>
      <c r="D574" s="7" t="s">
        <v>2464</v>
      </c>
      <c r="E574" s="7" t="s">
        <v>439</v>
      </c>
      <c r="F574" s="7" t="s">
        <v>289</v>
      </c>
      <c r="G574" s="7" t="s">
        <v>289</v>
      </c>
      <c r="H574" s="8">
        <v>1</v>
      </c>
      <c r="I574" s="7"/>
      <c r="J574" s="7"/>
      <c r="K574" s="7"/>
      <c r="L574" s="8"/>
      <c r="M574" s="8"/>
      <c r="N574" s="7"/>
      <c r="O574" s="7"/>
      <c r="P574" s="7" t="s">
        <v>87</v>
      </c>
      <c r="Q574" s="9">
        <v>46121</v>
      </c>
      <c r="R574" s="7" t="s">
        <v>290</v>
      </c>
      <c r="S574" s="10" t="s">
        <v>2465</v>
      </c>
    </row>
    <row r="575" spans="1:19" ht="81" x14ac:dyDescent="0.25">
      <c r="A575" s="17" t="s">
        <v>2466</v>
      </c>
      <c r="B575" s="7" t="s">
        <v>2467</v>
      </c>
      <c r="C575" s="7" t="s">
        <v>2468</v>
      </c>
      <c r="D575" s="7" t="s">
        <v>2469</v>
      </c>
      <c r="E575" s="7" t="s">
        <v>2470</v>
      </c>
      <c r="F575" s="7" t="s">
        <v>289</v>
      </c>
      <c r="G575" s="7" t="s">
        <v>289</v>
      </c>
      <c r="H575" s="8">
        <v>1000</v>
      </c>
      <c r="I575" s="7"/>
      <c r="J575" s="7"/>
      <c r="K575" s="7"/>
      <c r="L575" s="8"/>
      <c r="M575" s="8"/>
      <c r="N575" s="7"/>
      <c r="O575" s="7"/>
      <c r="P575" s="7" t="s">
        <v>87</v>
      </c>
      <c r="Q575" s="9">
        <v>46150</v>
      </c>
      <c r="R575" s="7" t="s">
        <v>290</v>
      </c>
      <c r="S575" s="10" t="s">
        <v>2471</v>
      </c>
    </row>
    <row r="576" spans="1:19" ht="67.5" x14ac:dyDescent="0.25">
      <c r="A576" s="17" t="s">
        <v>2472</v>
      </c>
      <c r="B576" s="7" t="s">
        <v>2473</v>
      </c>
      <c r="C576" s="7" t="s">
        <v>2213</v>
      </c>
      <c r="D576" s="7" t="s">
        <v>2474</v>
      </c>
      <c r="E576" s="7" t="s">
        <v>300</v>
      </c>
      <c r="F576" s="7" t="s">
        <v>289</v>
      </c>
      <c r="G576" s="7" t="s">
        <v>289</v>
      </c>
      <c r="H576" s="8">
        <v>1</v>
      </c>
      <c r="I576" s="7"/>
      <c r="J576" s="7"/>
      <c r="K576" s="7"/>
      <c r="L576" s="8"/>
      <c r="M576" s="8"/>
      <c r="N576" s="7"/>
      <c r="O576" s="7"/>
      <c r="P576" s="7" t="s">
        <v>87</v>
      </c>
      <c r="Q576" s="9">
        <v>46097</v>
      </c>
      <c r="R576" s="7" t="s">
        <v>290</v>
      </c>
      <c r="S576" s="10" t="s">
        <v>2475</v>
      </c>
    </row>
    <row r="577" spans="1:19" ht="67.5" x14ac:dyDescent="0.25">
      <c r="A577" s="17" t="s">
        <v>2476</v>
      </c>
      <c r="B577" s="7" t="s">
        <v>2477</v>
      </c>
      <c r="C577" s="7" t="s">
        <v>2213</v>
      </c>
      <c r="D577" s="59" t="s">
        <v>2478</v>
      </c>
      <c r="E577" s="7" t="s">
        <v>300</v>
      </c>
      <c r="F577" s="7" t="s">
        <v>289</v>
      </c>
      <c r="G577" s="7" t="s">
        <v>289</v>
      </c>
      <c r="H577" s="8">
        <v>1</v>
      </c>
      <c r="I577" s="7"/>
      <c r="J577" s="7"/>
      <c r="K577" s="7"/>
      <c r="L577" s="8"/>
      <c r="M577" s="8"/>
      <c r="N577" s="7"/>
      <c r="O577" s="7"/>
      <c r="P577" s="7" t="s">
        <v>87</v>
      </c>
      <c r="Q577" s="9">
        <v>46097</v>
      </c>
      <c r="R577" s="7" t="s">
        <v>290</v>
      </c>
      <c r="S577" s="10" t="s">
        <v>2479</v>
      </c>
    </row>
    <row r="578" spans="1:19" ht="40.5" x14ac:dyDescent="0.25">
      <c r="A578" s="17" t="s">
        <v>2480</v>
      </c>
      <c r="B578" s="7" t="s">
        <v>2481</v>
      </c>
      <c r="C578" s="7" t="s">
        <v>2482</v>
      </c>
      <c r="D578" s="7"/>
      <c r="E578" s="7"/>
      <c r="F578" s="7" t="s">
        <v>289</v>
      </c>
      <c r="G578" s="7" t="s">
        <v>289</v>
      </c>
      <c r="H578" s="8"/>
      <c r="I578" s="7"/>
      <c r="J578" s="7"/>
      <c r="K578" s="7"/>
      <c r="L578" s="8"/>
      <c r="M578" s="8"/>
      <c r="N578" s="7"/>
      <c r="O578" s="7"/>
      <c r="P578" s="7" t="s">
        <v>87</v>
      </c>
      <c r="Q578" s="9">
        <v>46133</v>
      </c>
      <c r="R578" s="7" t="s">
        <v>290</v>
      </c>
      <c r="S578" s="10" t="s">
        <v>2483</v>
      </c>
    </row>
    <row r="579" spans="1:19" ht="67.5" x14ac:dyDescent="0.25">
      <c r="A579" s="17" t="s">
        <v>2484</v>
      </c>
      <c r="B579" s="7" t="s">
        <v>2485</v>
      </c>
      <c r="C579" s="7" t="s">
        <v>2213</v>
      </c>
      <c r="D579" s="7" t="s">
        <v>2486</v>
      </c>
      <c r="E579" s="7" t="s">
        <v>300</v>
      </c>
      <c r="F579" s="7" t="s">
        <v>289</v>
      </c>
      <c r="G579" s="7" t="s">
        <v>289</v>
      </c>
      <c r="H579" s="8">
        <v>1</v>
      </c>
      <c r="I579" s="7"/>
      <c r="J579" s="7"/>
      <c r="K579" s="7"/>
      <c r="L579" s="8"/>
      <c r="M579" s="8"/>
      <c r="N579" s="7"/>
      <c r="O579" s="7"/>
      <c r="P579" s="7" t="s">
        <v>87</v>
      </c>
      <c r="Q579" s="9">
        <v>46097</v>
      </c>
      <c r="R579" s="7" t="s">
        <v>290</v>
      </c>
      <c r="S579" s="10" t="s">
        <v>2487</v>
      </c>
    </row>
    <row r="580" spans="1:19" ht="54" x14ac:dyDescent="0.25">
      <c r="A580" s="17" t="s">
        <v>2488</v>
      </c>
      <c r="B580" s="7" t="s">
        <v>2489</v>
      </c>
      <c r="C580" s="7" t="s">
        <v>294</v>
      </c>
      <c r="D580" s="7" t="s">
        <v>2490</v>
      </c>
      <c r="E580" s="7" t="s">
        <v>439</v>
      </c>
      <c r="F580" s="7" t="s">
        <v>289</v>
      </c>
      <c r="G580" s="7" t="s">
        <v>289</v>
      </c>
      <c r="H580" s="8">
        <v>1</v>
      </c>
      <c r="I580" s="7"/>
      <c r="J580" s="7"/>
      <c r="K580" s="7"/>
      <c r="L580" s="8"/>
      <c r="M580" s="8"/>
      <c r="N580" s="7"/>
      <c r="O580" s="7"/>
      <c r="P580" s="7" t="s">
        <v>87</v>
      </c>
      <c r="Q580" s="9">
        <v>46121</v>
      </c>
      <c r="R580" s="7" t="s">
        <v>290</v>
      </c>
      <c r="S580" s="10" t="s">
        <v>2491</v>
      </c>
    </row>
    <row r="581" spans="1:19" ht="54" x14ac:dyDescent="0.25">
      <c r="A581" s="17" t="s">
        <v>2492</v>
      </c>
      <c r="B581" s="7" t="s">
        <v>2493</v>
      </c>
      <c r="C581" s="7" t="s">
        <v>294</v>
      </c>
      <c r="D581" s="7" t="s">
        <v>2494</v>
      </c>
      <c r="E581" s="7" t="s">
        <v>439</v>
      </c>
      <c r="F581" s="7" t="s">
        <v>289</v>
      </c>
      <c r="G581" s="7" t="s">
        <v>289</v>
      </c>
      <c r="H581" s="8">
        <v>1</v>
      </c>
      <c r="I581" s="7"/>
      <c r="J581" s="7"/>
      <c r="K581" s="7"/>
      <c r="L581" s="8"/>
      <c r="M581" s="8"/>
      <c r="N581" s="7"/>
      <c r="O581" s="7"/>
      <c r="P581" s="7" t="s">
        <v>87</v>
      </c>
      <c r="Q581" s="9">
        <v>46121</v>
      </c>
      <c r="R581" s="7" t="s">
        <v>290</v>
      </c>
      <c r="S581" s="10" t="s">
        <v>2495</v>
      </c>
    </row>
    <row r="582" spans="1:19" ht="54" x14ac:dyDescent="0.25">
      <c r="A582" s="17" t="s">
        <v>2496</v>
      </c>
      <c r="B582" s="7" t="s">
        <v>2497</v>
      </c>
      <c r="C582" s="7" t="s">
        <v>294</v>
      </c>
      <c r="D582" s="7" t="s">
        <v>2498</v>
      </c>
      <c r="E582" s="7" t="s">
        <v>439</v>
      </c>
      <c r="F582" s="7" t="s">
        <v>289</v>
      </c>
      <c r="G582" s="7" t="s">
        <v>289</v>
      </c>
      <c r="H582" s="8">
        <v>1</v>
      </c>
      <c r="I582" s="7"/>
      <c r="J582" s="7"/>
      <c r="K582" s="7"/>
      <c r="L582" s="8"/>
      <c r="M582" s="8"/>
      <c r="N582" s="7"/>
      <c r="O582" s="7"/>
      <c r="P582" s="7" t="s">
        <v>87</v>
      </c>
      <c r="Q582" s="9">
        <v>46121</v>
      </c>
      <c r="R582" s="7" t="s">
        <v>290</v>
      </c>
      <c r="S582" s="10" t="s">
        <v>2499</v>
      </c>
    </row>
    <row r="583" spans="1:19" ht="54" x14ac:dyDescent="0.25">
      <c r="A583" s="17" t="s">
        <v>2500</v>
      </c>
      <c r="B583" s="7" t="s">
        <v>2501</v>
      </c>
      <c r="C583" s="7" t="s">
        <v>294</v>
      </c>
      <c r="D583" s="7" t="s">
        <v>2502</v>
      </c>
      <c r="E583" s="7" t="s">
        <v>439</v>
      </c>
      <c r="F583" s="7" t="s">
        <v>289</v>
      </c>
      <c r="G583" s="7" t="s">
        <v>289</v>
      </c>
      <c r="H583" s="8">
        <v>1</v>
      </c>
      <c r="I583" s="7"/>
      <c r="J583" s="7"/>
      <c r="K583" s="7"/>
      <c r="L583" s="8"/>
      <c r="M583" s="8"/>
      <c r="N583" s="7"/>
      <c r="O583" s="7"/>
      <c r="P583" s="7" t="s">
        <v>87</v>
      </c>
      <c r="Q583" s="9">
        <v>46121</v>
      </c>
      <c r="R583" s="7" t="s">
        <v>290</v>
      </c>
      <c r="S583" s="10" t="s">
        <v>2503</v>
      </c>
    </row>
    <row r="584" spans="1:19" ht="27" x14ac:dyDescent="0.25">
      <c r="A584" s="17" t="s">
        <v>2504</v>
      </c>
      <c r="B584" s="7" t="s">
        <v>2505</v>
      </c>
      <c r="C584" s="7" t="s">
        <v>294</v>
      </c>
      <c r="D584" s="7"/>
      <c r="E584" s="7"/>
      <c r="F584" s="7" t="s">
        <v>289</v>
      </c>
      <c r="G584" s="7" t="s">
        <v>289</v>
      </c>
      <c r="H584" s="8"/>
      <c r="I584" s="7"/>
      <c r="J584" s="7"/>
      <c r="K584" s="7"/>
      <c r="L584" s="8"/>
      <c r="M584" s="8"/>
      <c r="N584" s="7"/>
      <c r="O584" s="7"/>
      <c r="P584" s="7" t="s">
        <v>87</v>
      </c>
      <c r="Q584" s="9">
        <v>46091</v>
      </c>
      <c r="R584" s="7" t="s">
        <v>290</v>
      </c>
      <c r="S584" s="10" t="s">
        <v>2506</v>
      </c>
    </row>
    <row r="585" spans="1:19" ht="54" x14ac:dyDescent="0.25">
      <c r="A585" s="17" t="s">
        <v>2507</v>
      </c>
      <c r="B585" s="7" t="s">
        <v>2508</v>
      </c>
      <c r="C585" s="7" t="s">
        <v>294</v>
      </c>
      <c r="D585" s="7" t="s">
        <v>2509</v>
      </c>
      <c r="E585" s="7" t="s">
        <v>439</v>
      </c>
      <c r="F585" s="7" t="s">
        <v>289</v>
      </c>
      <c r="G585" s="7" t="s">
        <v>289</v>
      </c>
      <c r="H585" s="8">
        <v>1</v>
      </c>
      <c r="I585" s="7"/>
      <c r="J585" s="7"/>
      <c r="K585" s="7"/>
      <c r="L585" s="8"/>
      <c r="M585" s="8"/>
      <c r="N585" s="7"/>
      <c r="O585" s="7"/>
      <c r="P585" s="7" t="s">
        <v>87</v>
      </c>
      <c r="Q585" s="9">
        <v>46121</v>
      </c>
      <c r="R585" s="7" t="s">
        <v>290</v>
      </c>
      <c r="S585" s="10" t="s">
        <v>2510</v>
      </c>
    </row>
    <row r="586" spans="1:19" ht="67.5" x14ac:dyDescent="0.25">
      <c r="A586" s="17" t="s">
        <v>2511</v>
      </c>
      <c r="B586" s="7" t="s">
        <v>2512</v>
      </c>
      <c r="C586" s="7" t="s">
        <v>2213</v>
      </c>
      <c r="D586" s="7" t="s">
        <v>2513</v>
      </c>
      <c r="E586" s="7" t="s">
        <v>300</v>
      </c>
      <c r="F586" s="7" t="s">
        <v>289</v>
      </c>
      <c r="G586" s="7" t="s">
        <v>289</v>
      </c>
      <c r="H586" s="8">
        <v>1</v>
      </c>
      <c r="I586" s="7"/>
      <c r="J586" s="7"/>
      <c r="K586" s="7"/>
      <c r="L586" s="8"/>
      <c r="M586" s="8"/>
      <c r="N586" s="7"/>
      <c r="O586" s="7"/>
      <c r="P586" s="7" t="s">
        <v>87</v>
      </c>
      <c r="Q586" s="9">
        <v>46097</v>
      </c>
      <c r="R586" s="7" t="s">
        <v>290</v>
      </c>
      <c r="S586" s="10" t="s">
        <v>2514</v>
      </c>
    </row>
    <row r="587" spans="1:19" ht="54" x14ac:dyDescent="0.25">
      <c r="A587" s="17" t="s">
        <v>2515</v>
      </c>
      <c r="B587" s="7" t="s">
        <v>2516</v>
      </c>
      <c r="C587" s="7" t="s">
        <v>294</v>
      </c>
      <c r="D587" s="7" t="s">
        <v>2517</v>
      </c>
      <c r="E587" s="7" t="s">
        <v>439</v>
      </c>
      <c r="F587" s="7" t="s">
        <v>289</v>
      </c>
      <c r="G587" s="7" t="s">
        <v>289</v>
      </c>
      <c r="H587" s="8">
        <v>1</v>
      </c>
      <c r="I587" s="7"/>
      <c r="J587" s="7"/>
      <c r="K587" s="7"/>
      <c r="L587" s="8"/>
      <c r="M587" s="8"/>
      <c r="N587" s="7"/>
      <c r="O587" s="7"/>
      <c r="P587" s="7" t="s">
        <v>87</v>
      </c>
      <c r="Q587" s="9">
        <v>46121</v>
      </c>
      <c r="R587" s="7" t="s">
        <v>290</v>
      </c>
      <c r="S587" s="10" t="s">
        <v>2518</v>
      </c>
    </row>
    <row r="588" spans="1:19" ht="54" x14ac:dyDescent="0.25">
      <c r="A588" s="17" t="s">
        <v>2519</v>
      </c>
      <c r="B588" s="7" t="s">
        <v>2520</v>
      </c>
      <c r="C588" s="7" t="s">
        <v>294</v>
      </c>
      <c r="D588" s="7" t="s">
        <v>2521</v>
      </c>
      <c r="E588" s="7" t="s">
        <v>439</v>
      </c>
      <c r="F588" s="7" t="s">
        <v>289</v>
      </c>
      <c r="G588" s="7" t="s">
        <v>289</v>
      </c>
      <c r="H588" s="8">
        <v>1</v>
      </c>
      <c r="I588" s="7"/>
      <c r="J588" s="7"/>
      <c r="K588" s="7"/>
      <c r="L588" s="8"/>
      <c r="M588" s="8"/>
      <c r="N588" s="7"/>
      <c r="O588" s="7"/>
      <c r="P588" s="7" t="s">
        <v>87</v>
      </c>
      <c r="Q588" s="9">
        <v>46121</v>
      </c>
      <c r="R588" s="7" t="s">
        <v>290</v>
      </c>
      <c r="S588" s="10" t="s">
        <v>2522</v>
      </c>
    </row>
    <row r="589" spans="1:19" ht="27" x14ac:dyDescent="0.25">
      <c r="A589" s="17" t="s">
        <v>2523</v>
      </c>
      <c r="B589" s="7" t="s">
        <v>2524</v>
      </c>
      <c r="C589" s="7" t="s">
        <v>294</v>
      </c>
      <c r="D589" s="7"/>
      <c r="E589" s="7"/>
      <c r="F589" s="7" t="s">
        <v>289</v>
      </c>
      <c r="G589" s="7" t="s">
        <v>289</v>
      </c>
      <c r="H589" s="8"/>
      <c r="I589" s="7"/>
      <c r="J589" s="7"/>
      <c r="K589" s="7"/>
      <c r="L589" s="8"/>
      <c r="M589" s="8"/>
      <c r="N589" s="7"/>
      <c r="O589" s="7"/>
      <c r="P589" s="7" t="s">
        <v>87</v>
      </c>
      <c r="Q589" s="9">
        <v>46091</v>
      </c>
      <c r="R589" s="7" t="s">
        <v>290</v>
      </c>
      <c r="S589" s="10" t="s">
        <v>2525</v>
      </c>
    </row>
    <row r="590" spans="1:19" ht="40.5" x14ac:dyDescent="0.25">
      <c r="A590" s="17" t="s">
        <v>2526</v>
      </c>
      <c r="B590" s="7" t="s">
        <v>2527</v>
      </c>
      <c r="C590" s="7" t="s">
        <v>2213</v>
      </c>
      <c r="D590" s="7"/>
      <c r="E590" s="7"/>
      <c r="F590" s="7" t="s">
        <v>289</v>
      </c>
      <c r="G590" s="7" t="s">
        <v>289</v>
      </c>
      <c r="H590" s="8"/>
      <c r="I590" s="7"/>
      <c r="J590" s="7"/>
      <c r="K590" s="7"/>
      <c r="L590" s="8"/>
      <c r="M590" s="8"/>
      <c r="N590" s="7"/>
      <c r="O590" s="7"/>
      <c r="P590" s="7" t="s">
        <v>87</v>
      </c>
      <c r="Q590" s="9">
        <v>46097</v>
      </c>
      <c r="R590" s="7" t="s">
        <v>290</v>
      </c>
      <c r="S590" s="10" t="s">
        <v>2528</v>
      </c>
    </row>
    <row r="591" spans="1:19" ht="27" x14ac:dyDescent="0.25">
      <c r="A591" s="17" t="s">
        <v>2529</v>
      </c>
      <c r="B591" s="7" t="s">
        <v>2530</v>
      </c>
      <c r="C591" s="7" t="s">
        <v>680</v>
      </c>
      <c r="D591" s="7"/>
      <c r="E591" s="7"/>
      <c r="F591" s="7" t="s">
        <v>289</v>
      </c>
      <c r="G591" s="7" t="s">
        <v>289</v>
      </c>
      <c r="H591" s="8"/>
      <c r="I591" s="7"/>
      <c r="J591" s="7"/>
      <c r="K591" s="7"/>
      <c r="L591" s="8"/>
      <c r="M591" s="8"/>
      <c r="N591" s="7"/>
      <c r="O591" s="7"/>
      <c r="P591" s="7" t="s">
        <v>87</v>
      </c>
      <c r="Q591" s="9">
        <v>46185</v>
      </c>
      <c r="R591" s="7" t="s">
        <v>290</v>
      </c>
      <c r="S591" s="10" t="s">
        <v>2531</v>
      </c>
    </row>
    <row r="592" spans="1:19" ht="27" x14ac:dyDescent="0.25">
      <c r="A592" s="17" t="s">
        <v>2532</v>
      </c>
      <c r="B592" s="7" t="s">
        <v>2533</v>
      </c>
      <c r="C592" s="7" t="s">
        <v>680</v>
      </c>
      <c r="D592" s="7"/>
      <c r="E592" s="7"/>
      <c r="F592" s="7" t="s">
        <v>289</v>
      </c>
      <c r="G592" s="7" t="s">
        <v>289</v>
      </c>
      <c r="H592" s="8"/>
      <c r="I592" s="7"/>
      <c r="J592" s="7"/>
      <c r="K592" s="7"/>
      <c r="L592" s="8"/>
      <c r="M592" s="8"/>
      <c r="N592" s="7"/>
      <c r="O592" s="7"/>
      <c r="P592" s="7" t="s">
        <v>87</v>
      </c>
      <c r="Q592" s="9">
        <v>46185</v>
      </c>
      <c r="R592" s="7" t="s">
        <v>290</v>
      </c>
      <c r="S592" s="10" t="s">
        <v>2534</v>
      </c>
    </row>
    <row r="593" spans="1:19" ht="81" x14ac:dyDescent="0.25">
      <c r="A593" s="17" t="s">
        <v>2535</v>
      </c>
      <c r="B593" s="7" t="s">
        <v>2536</v>
      </c>
      <c r="C593" s="7" t="s">
        <v>460</v>
      </c>
      <c r="D593" s="7" t="s">
        <v>2537</v>
      </c>
      <c r="E593" s="7" t="s">
        <v>361</v>
      </c>
      <c r="F593" s="7" t="s">
        <v>25</v>
      </c>
      <c r="G593" s="7" t="s">
        <v>25</v>
      </c>
      <c r="H593" s="8">
        <v>1000</v>
      </c>
      <c r="I593" s="7"/>
      <c r="J593" s="7"/>
      <c r="K593" s="7"/>
      <c r="L593" s="8"/>
      <c r="M593" s="8"/>
      <c r="N593" s="7"/>
      <c r="O593" s="7"/>
      <c r="P593" s="7" t="s">
        <v>87</v>
      </c>
      <c r="Q593" s="9">
        <v>46073</v>
      </c>
      <c r="R593" s="7" t="s">
        <v>290</v>
      </c>
      <c r="S593" s="10" t="s">
        <v>2538</v>
      </c>
    </row>
    <row r="594" spans="1:19" ht="81" x14ac:dyDescent="0.25">
      <c r="A594" s="17" t="s">
        <v>2539</v>
      </c>
      <c r="B594" s="7" t="s">
        <v>2540</v>
      </c>
      <c r="C594" s="7" t="s">
        <v>475</v>
      </c>
      <c r="D594" s="7" t="s">
        <v>2541</v>
      </c>
      <c r="E594" s="7" t="s">
        <v>1094</v>
      </c>
      <c r="F594" s="7" t="s">
        <v>25</v>
      </c>
      <c r="G594" s="7" t="s">
        <v>25</v>
      </c>
      <c r="H594" s="8">
        <v>2000</v>
      </c>
      <c r="I594" s="7"/>
      <c r="J594" s="7"/>
      <c r="K594" s="7"/>
      <c r="L594" s="8"/>
      <c r="M594" s="8"/>
      <c r="N594" s="7"/>
      <c r="O594" s="7"/>
      <c r="P594" s="7" t="s">
        <v>87</v>
      </c>
      <c r="Q594" s="9">
        <v>46097</v>
      </c>
      <c r="R594" s="7" t="s">
        <v>290</v>
      </c>
      <c r="S594" s="10" t="s">
        <v>2542</v>
      </c>
    </row>
    <row r="595" spans="1:19" ht="81" x14ac:dyDescent="0.25">
      <c r="A595" s="17" t="s">
        <v>2543</v>
      </c>
      <c r="B595" s="7" t="s">
        <v>2544</v>
      </c>
      <c r="C595" s="7" t="s">
        <v>2545</v>
      </c>
      <c r="D595" s="7" t="s">
        <v>2546</v>
      </c>
      <c r="E595" s="7" t="s">
        <v>2547</v>
      </c>
      <c r="F595" s="7" t="s">
        <v>289</v>
      </c>
      <c r="G595" s="7" t="s">
        <v>289</v>
      </c>
      <c r="H595" s="8">
        <v>1</v>
      </c>
      <c r="I595" s="7"/>
      <c r="J595" s="7"/>
      <c r="K595" s="7"/>
      <c r="L595" s="8"/>
      <c r="M595" s="8"/>
      <c r="N595" s="7"/>
      <c r="O595" s="7"/>
      <c r="P595" s="7" t="s">
        <v>87</v>
      </c>
      <c r="Q595" s="9">
        <v>46125</v>
      </c>
      <c r="R595" s="7" t="s">
        <v>290</v>
      </c>
      <c r="S595" s="10" t="s">
        <v>2548</v>
      </c>
    </row>
    <row r="596" spans="1:19" ht="81" x14ac:dyDescent="0.25">
      <c r="A596" s="17" t="s">
        <v>2549</v>
      </c>
      <c r="B596" s="7" t="s">
        <v>2550</v>
      </c>
      <c r="C596" s="7" t="s">
        <v>359</v>
      </c>
      <c r="D596" s="7" t="s">
        <v>2551</v>
      </c>
      <c r="E596" s="7" t="s">
        <v>361</v>
      </c>
      <c r="F596" s="7" t="s">
        <v>25</v>
      </c>
      <c r="G596" s="7" t="s">
        <v>25</v>
      </c>
      <c r="H596" s="8">
        <v>1000</v>
      </c>
      <c r="I596" s="7"/>
      <c r="J596" s="7"/>
      <c r="K596" s="7"/>
      <c r="L596" s="8"/>
      <c r="M596" s="8"/>
      <c r="N596" s="7"/>
      <c r="O596" s="7"/>
      <c r="P596" s="7" t="s">
        <v>87</v>
      </c>
      <c r="Q596" s="9">
        <v>46083</v>
      </c>
      <c r="R596" s="7" t="s">
        <v>290</v>
      </c>
      <c r="S596" s="10" t="s">
        <v>2552</v>
      </c>
    </row>
    <row r="597" spans="1:19" ht="81" x14ac:dyDescent="0.25">
      <c r="A597" s="17" t="s">
        <v>2553</v>
      </c>
      <c r="B597" s="7" t="s">
        <v>2554</v>
      </c>
      <c r="C597" s="7" t="s">
        <v>359</v>
      </c>
      <c r="D597" s="7" t="s">
        <v>2555</v>
      </c>
      <c r="E597" s="7" t="s">
        <v>361</v>
      </c>
      <c r="F597" s="7" t="s">
        <v>25</v>
      </c>
      <c r="G597" s="7" t="s">
        <v>25</v>
      </c>
      <c r="H597" s="8">
        <v>1000</v>
      </c>
      <c r="I597" s="7"/>
      <c r="J597" s="7"/>
      <c r="K597" s="7"/>
      <c r="L597" s="8"/>
      <c r="M597" s="8"/>
      <c r="N597" s="7"/>
      <c r="O597" s="7"/>
      <c r="P597" s="7" t="s">
        <v>87</v>
      </c>
      <c r="Q597" s="9">
        <v>46083</v>
      </c>
      <c r="R597" s="7" t="s">
        <v>290</v>
      </c>
      <c r="S597" s="10" t="s">
        <v>2556</v>
      </c>
    </row>
    <row r="598" spans="1:19" ht="40.5" x14ac:dyDescent="0.25">
      <c r="A598" s="17" t="s">
        <v>2557</v>
      </c>
      <c r="B598" s="7" t="s">
        <v>2558</v>
      </c>
      <c r="C598" s="7" t="s">
        <v>407</v>
      </c>
      <c r="D598" s="7"/>
      <c r="E598" s="7"/>
      <c r="F598" s="7" t="s">
        <v>289</v>
      </c>
      <c r="G598" s="7" t="s">
        <v>289</v>
      </c>
      <c r="H598" s="8"/>
      <c r="I598" s="7"/>
      <c r="J598" s="7"/>
      <c r="K598" s="7"/>
      <c r="L598" s="8"/>
      <c r="M598" s="8"/>
      <c r="N598" s="7"/>
      <c r="O598" s="7"/>
      <c r="P598" s="7" t="s">
        <v>87</v>
      </c>
      <c r="Q598" s="9">
        <v>46097</v>
      </c>
      <c r="R598" s="7" t="s">
        <v>290</v>
      </c>
      <c r="S598" s="10" t="s">
        <v>2559</v>
      </c>
    </row>
    <row r="599" spans="1:19" ht="81" x14ac:dyDescent="0.25">
      <c r="A599" s="17" t="s">
        <v>2560</v>
      </c>
      <c r="B599" s="7" t="s">
        <v>2561</v>
      </c>
      <c r="C599" s="7" t="s">
        <v>2562</v>
      </c>
      <c r="D599" s="7" t="s">
        <v>2563</v>
      </c>
      <c r="E599" s="7" t="s">
        <v>2564</v>
      </c>
      <c r="F599" s="7" t="s">
        <v>289</v>
      </c>
      <c r="G599" s="7" t="s">
        <v>289</v>
      </c>
      <c r="H599" s="8">
        <v>1</v>
      </c>
      <c r="I599" s="7"/>
      <c r="J599" s="7"/>
      <c r="K599" s="7"/>
      <c r="L599" s="8"/>
      <c r="M599" s="8"/>
      <c r="N599" s="7"/>
      <c r="O599" s="7"/>
      <c r="P599" s="7" t="s">
        <v>87</v>
      </c>
      <c r="Q599" s="9">
        <v>46097</v>
      </c>
      <c r="R599" s="7" t="s">
        <v>290</v>
      </c>
      <c r="S599" s="10" t="s">
        <v>2565</v>
      </c>
    </row>
    <row r="600" spans="1:19" ht="81" x14ac:dyDescent="0.25">
      <c r="A600" s="17" t="s">
        <v>2566</v>
      </c>
      <c r="B600" s="7" t="s">
        <v>2567</v>
      </c>
      <c r="C600" s="7" t="s">
        <v>714</v>
      </c>
      <c r="D600" s="7" t="s">
        <v>2568</v>
      </c>
      <c r="E600" s="7" t="s">
        <v>2569</v>
      </c>
      <c r="F600" s="7" t="s">
        <v>289</v>
      </c>
      <c r="G600" s="7" t="s">
        <v>289</v>
      </c>
      <c r="H600" s="8">
        <v>1</v>
      </c>
      <c r="I600" s="7"/>
      <c r="J600" s="7"/>
      <c r="K600" s="7"/>
      <c r="L600" s="8"/>
      <c r="M600" s="8"/>
      <c r="N600" s="7"/>
      <c r="O600" s="7"/>
      <c r="P600" s="7" t="s">
        <v>87</v>
      </c>
      <c r="Q600" s="9">
        <v>46094</v>
      </c>
      <c r="R600" s="7" t="s">
        <v>290</v>
      </c>
      <c r="S600" s="10" t="s">
        <v>2570</v>
      </c>
    </row>
    <row r="601" spans="1:19" ht="81" x14ac:dyDescent="0.25">
      <c r="A601" s="17" t="s">
        <v>2571</v>
      </c>
      <c r="B601" s="7" t="s">
        <v>2572</v>
      </c>
      <c r="C601" s="7" t="s">
        <v>2562</v>
      </c>
      <c r="D601" s="7" t="s">
        <v>2573</v>
      </c>
      <c r="E601" s="7" t="s">
        <v>776</v>
      </c>
      <c r="F601" s="7" t="s">
        <v>289</v>
      </c>
      <c r="G601" s="7" t="s">
        <v>289</v>
      </c>
      <c r="H601" s="8">
        <v>1</v>
      </c>
      <c r="I601" s="7"/>
      <c r="J601" s="7"/>
      <c r="K601" s="7"/>
      <c r="L601" s="8"/>
      <c r="M601" s="8"/>
      <c r="N601" s="7"/>
      <c r="O601" s="7"/>
      <c r="P601" s="7" t="s">
        <v>87</v>
      </c>
      <c r="Q601" s="9">
        <v>46094</v>
      </c>
      <c r="R601" s="7" t="s">
        <v>290</v>
      </c>
      <c r="S601" s="10" t="s">
        <v>2574</v>
      </c>
    </row>
    <row r="602" spans="1:19" ht="81" x14ac:dyDescent="0.25">
      <c r="A602" s="17" t="s">
        <v>2575</v>
      </c>
      <c r="B602" s="7" t="s">
        <v>2576</v>
      </c>
      <c r="C602" s="7" t="s">
        <v>2562</v>
      </c>
      <c r="D602" s="7" t="s">
        <v>2577</v>
      </c>
      <c r="E602" s="7" t="s">
        <v>776</v>
      </c>
      <c r="F602" s="7" t="s">
        <v>289</v>
      </c>
      <c r="G602" s="7" t="s">
        <v>289</v>
      </c>
      <c r="H602" s="8">
        <v>1</v>
      </c>
      <c r="I602" s="7"/>
      <c r="J602" s="7"/>
      <c r="K602" s="7"/>
      <c r="L602" s="8"/>
      <c r="M602" s="8"/>
      <c r="N602" s="7"/>
      <c r="O602" s="7"/>
      <c r="P602" s="7" t="s">
        <v>87</v>
      </c>
      <c r="Q602" s="9">
        <v>46094</v>
      </c>
      <c r="R602" s="7" t="s">
        <v>290</v>
      </c>
      <c r="S602" s="10" t="s">
        <v>2578</v>
      </c>
    </row>
    <row r="603" spans="1:19" ht="81" x14ac:dyDescent="0.25">
      <c r="A603" s="17" t="s">
        <v>2579</v>
      </c>
      <c r="B603" s="7" t="s">
        <v>2580</v>
      </c>
      <c r="C603" s="7" t="s">
        <v>2562</v>
      </c>
      <c r="D603" s="7" t="s">
        <v>2581</v>
      </c>
      <c r="E603" s="7" t="s">
        <v>776</v>
      </c>
      <c r="F603" s="7" t="s">
        <v>289</v>
      </c>
      <c r="G603" s="7" t="s">
        <v>289</v>
      </c>
      <c r="H603" s="8">
        <v>1</v>
      </c>
      <c r="I603" s="7"/>
      <c r="J603" s="7"/>
      <c r="K603" s="7"/>
      <c r="L603" s="8"/>
      <c r="M603" s="8"/>
      <c r="N603" s="7"/>
      <c r="O603" s="7"/>
      <c r="P603" s="7" t="s">
        <v>87</v>
      </c>
      <c r="Q603" s="9">
        <v>46126</v>
      </c>
      <c r="R603" s="7" t="s">
        <v>290</v>
      </c>
      <c r="S603" s="10" t="s">
        <v>2582</v>
      </c>
    </row>
    <row r="604" spans="1:19" ht="81" x14ac:dyDescent="0.25">
      <c r="A604" s="17" t="s">
        <v>2583</v>
      </c>
      <c r="B604" s="7" t="s">
        <v>2584</v>
      </c>
      <c r="C604" s="7" t="s">
        <v>2562</v>
      </c>
      <c r="D604" s="7" t="s">
        <v>2585</v>
      </c>
      <c r="E604" s="7" t="s">
        <v>776</v>
      </c>
      <c r="F604" s="7" t="s">
        <v>289</v>
      </c>
      <c r="G604" s="7" t="s">
        <v>289</v>
      </c>
      <c r="H604" s="8">
        <v>1</v>
      </c>
      <c r="I604" s="7"/>
      <c r="J604" s="7"/>
      <c r="K604" s="7"/>
      <c r="L604" s="8"/>
      <c r="M604" s="8"/>
      <c r="N604" s="7"/>
      <c r="O604" s="7"/>
      <c r="P604" s="7" t="s">
        <v>87</v>
      </c>
      <c r="Q604" s="9">
        <v>46097</v>
      </c>
      <c r="R604" s="7" t="s">
        <v>290</v>
      </c>
      <c r="S604" s="10" t="s">
        <v>2586</v>
      </c>
    </row>
    <row r="605" spans="1:19" ht="81" x14ac:dyDescent="0.25">
      <c r="A605" s="17" t="s">
        <v>2587</v>
      </c>
      <c r="B605" s="7" t="s">
        <v>2588</v>
      </c>
      <c r="C605" s="7" t="s">
        <v>2562</v>
      </c>
      <c r="D605" s="7" t="s">
        <v>2589</v>
      </c>
      <c r="E605" s="7" t="s">
        <v>2569</v>
      </c>
      <c r="F605" s="7" t="s">
        <v>289</v>
      </c>
      <c r="G605" s="7" t="s">
        <v>289</v>
      </c>
      <c r="H605" s="8">
        <v>1</v>
      </c>
      <c r="I605" s="7"/>
      <c r="J605" s="7"/>
      <c r="K605" s="7"/>
      <c r="L605" s="8"/>
      <c r="M605" s="8"/>
      <c r="N605" s="7"/>
      <c r="O605" s="7"/>
      <c r="P605" s="7" t="s">
        <v>87</v>
      </c>
      <c r="Q605" s="9">
        <v>46149</v>
      </c>
      <c r="R605" s="7" t="s">
        <v>290</v>
      </c>
      <c r="S605" s="10" t="s">
        <v>2590</v>
      </c>
    </row>
    <row r="606" spans="1:19" ht="81" x14ac:dyDescent="0.25">
      <c r="A606" s="17" t="s">
        <v>2591</v>
      </c>
      <c r="B606" s="7" t="s">
        <v>2592</v>
      </c>
      <c r="C606" s="7" t="s">
        <v>2562</v>
      </c>
      <c r="D606" s="7" t="s">
        <v>2593</v>
      </c>
      <c r="E606" s="7" t="s">
        <v>776</v>
      </c>
      <c r="F606" s="7" t="s">
        <v>289</v>
      </c>
      <c r="G606" s="7" t="s">
        <v>289</v>
      </c>
      <c r="H606" s="8">
        <v>1</v>
      </c>
      <c r="I606" s="7"/>
      <c r="J606" s="7"/>
      <c r="K606" s="7"/>
      <c r="L606" s="8"/>
      <c r="M606" s="8"/>
      <c r="N606" s="7"/>
      <c r="O606" s="7"/>
      <c r="P606" s="7" t="s">
        <v>87</v>
      </c>
      <c r="Q606" s="9">
        <v>46097</v>
      </c>
      <c r="R606" s="7" t="s">
        <v>290</v>
      </c>
      <c r="S606" s="10" t="s">
        <v>2594</v>
      </c>
    </row>
    <row r="607" spans="1:19" ht="27" x14ac:dyDescent="0.25">
      <c r="A607" s="17" t="s">
        <v>2595</v>
      </c>
      <c r="B607" s="7" t="s">
        <v>2596</v>
      </c>
      <c r="C607" s="7" t="s">
        <v>816</v>
      </c>
      <c r="D607" s="7"/>
      <c r="E607" s="7"/>
      <c r="F607" s="7" t="s">
        <v>289</v>
      </c>
      <c r="G607" s="7" t="s">
        <v>289</v>
      </c>
      <c r="H607" s="8"/>
      <c r="I607" s="7"/>
      <c r="J607" s="7"/>
      <c r="K607" s="7"/>
      <c r="L607" s="8"/>
      <c r="M607" s="8"/>
      <c r="N607" s="7"/>
      <c r="O607" s="7"/>
      <c r="P607" s="7" t="s">
        <v>87</v>
      </c>
      <c r="Q607" s="9">
        <v>46185</v>
      </c>
      <c r="R607" s="7" t="s">
        <v>290</v>
      </c>
      <c r="S607" s="10" t="s">
        <v>2597</v>
      </c>
    </row>
    <row r="608" spans="1:19" ht="27" x14ac:dyDescent="0.25">
      <c r="A608" s="17" t="s">
        <v>2598</v>
      </c>
      <c r="B608" s="7" t="s">
        <v>2599</v>
      </c>
      <c r="C608" s="7" t="s">
        <v>816</v>
      </c>
      <c r="D608" s="7"/>
      <c r="E608" s="7"/>
      <c r="F608" s="7" t="s">
        <v>289</v>
      </c>
      <c r="G608" s="7" t="s">
        <v>289</v>
      </c>
      <c r="H608" s="8"/>
      <c r="I608" s="7"/>
      <c r="J608" s="7"/>
      <c r="K608" s="7"/>
      <c r="L608" s="8"/>
      <c r="M608" s="8"/>
      <c r="N608" s="7"/>
      <c r="O608" s="7"/>
      <c r="P608" s="7" t="s">
        <v>87</v>
      </c>
      <c r="Q608" s="9">
        <v>46221</v>
      </c>
      <c r="R608" s="7" t="s">
        <v>290</v>
      </c>
      <c r="S608" s="10" t="s">
        <v>2600</v>
      </c>
    </row>
    <row r="609" spans="1:19" ht="81" x14ac:dyDescent="0.25">
      <c r="A609" s="17" t="s">
        <v>2601</v>
      </c>
      <c r="B609" s="7" t="s">
        <v>2602</v>
      </c>
      <c r="C609" s="7" t="s">
        <v>388</v>
      </c>
      <c r="D609" s="7" t="s">
        <v>2603</v>
      </c>
      <c r="E609" s="7" t="s">
        <v>361</v>
      </c>
      <c r="F609" s="7" t="s">
        <v>25</v>
      </c>
      <c r="G609" s="7" t="s">
        <v>25</v>
      </c>
      <c r="H609" s="8">
        <v>1000</v>
      </c>
      <c r="I609" s="7"/>
      <c r="J609" s="7"/>
      <c r="K609" s="7"/>
      <c r="L609" s="8"/>
      <c r="M609" s="8"/>
      <c r="N609" s="7"/>
      <c r="O609" s="7"/>
      <c r="P609" s="7" t="s">
        <v>87</v>
      </c>
      <c r="Q609" s="9">
        <v>46097</v>
      </c>
      <c r="R609" s="7" t="s">
        <v>290</v>
      </c>
      <c r="S609" s="10" t="s">
        <v>2604</v>
      </c>
    </row>
    <row r="610" spans="1:19" ht="81" x14ac:dyDescent="0.25">
      <c r="A610" s="17" t="s">
        <v>2605</v>
      </c>
      <c r="B610" s="7" t="s">
        <v>2606</v>
      </c>
      <c r="C610" s="7" t="s">
        <v>327</v>
      </c>
      <c r="D610" s="7" t="s">
        <v>2607</v>
      </c>
      <c r="E610" s="7" t="s">
        <v>2608</v>
      </c>
      <c r="F610" s="7" t="s">
        <v>25</v>
      </c>
      <c r="G610" s="7" t="s">
        <v>25</v>
      </c>
      <c r="H610" s="8">
        <v>226</v>
      </c>
      <c r="I610" s="7"/>
      <c r="J610" s="7"/>
      <c r="K610" s="7"/>
      <c r="L610" s="8"/>
      <c r="M610" s="8"/>
      <c r="N610" s="7"/>
      <c r="O610" s="7"/>
      <c r="P610" s="7" t="s">
        <v>87</v>
      </c>
      <c r="Q610" s="9">
        <v>46172</v>
      </c>
      <c r="R610" s="7" t="s">
        <v>290</v>
      </c>
      <c r="S610" s="10" t="s">
        <v>2609</v>
      </c>
    </row>
    <row r="611" spans="1:19" ht="81" x14ac:dyDescent="0.25">
      <c r="A611" s="17" t="s">
        <v>2610</v>
      </c>
      <c r="B611" s="7" t="s">
        <v>2611</v>
      </c>
      <c r="C611" s="7" t="s">
        <v>475</v>
      </c>
      <c r="D611" s="7" t="s">
        <v>2612</v>
      </c>
      <c r="E611" s="7" t="s">
        <v>1360</v>
      </c>
      <c r="F611" s="7" t="s">
        <v>25</v>
      </c>
      <c r="G611" s="7" t="s">
        <v>25</v>
      </c>
      <c r="H611" s="8">
        <v>1000</v>
      </c>
      <c r="I611" s="7"/>
      <c r="J611" s="7"/>
      <c r="K611" s="7"/>
      <c r="L611" s="8"/>
      <c r="M611" s="8"/>
      <c r="N611" s="7"/>
      <c r="O611" s="7"/>
      <c r="P611" s="7" t="s">
        <v>87</v>
      </c>
      <c r="Q611" s="9">
        <v>46109</v>
      </c>
      <c r="R611" s="7" t="s">
        <v>290</v>
      </c>
      <c r="S611" s="10" t="s">
        <v>2613</v>
      </c>
    </row>
    <row r="612" spans="1:19" ht="81" x14ac:dyDescent="0.25">
      <c r="A612" s="17" t="s">
        <v>2614</v>
      </c>
      <c r="B612" s="7" t="s">
        <v>2615</v>
      </c>
      <c r="C612" s="7" t="s">
        <v>475</v>
      </c>
      <c r="D612" s="7" t="s">
        <v>2616</v>
      </c>
      <c r="E612" s="7" t="s">
        <v>1360</v>
      </c>
      <c r="F612" s="7" t="s">
        <v>25</v>
      </c>
      <c r="G612" s="7" t="s">
        <v>25</v>
      </c>
      <c r="H612" s="8">
        <v>1000</v>
      </c>
      <c r="I612" s="7"/>
      <c r="J612" s="7"/>
      <c r="K612" s="7"/>
      <c r="L612" s="8"/>
      <c r="M612" s="8"/>
      <c r="N612" s="7"/>
      <c r="O612" s="7"/>
      <c r="P612" s="7" t="s">
        <v>87</v>
      </c>
      <c r="Q612" s="9">
        <v>46149</v>
      </c>
      <c r="R612" s="7" t="s">
        <v>290</v>
      </c>
      <c r="S612" s="10" t="s">
        <v>2617</v>
      </c>
    </row>
    <row r="613" spans="1:19" ht="81" x14ac:dyDescent="0.25">
      <c r="A613" s="58" t="s">
        <v>2618</v>
      </c>
      <c r="B613" s="7" t="s">
        <v>2619</v>
      </c>
      <c r="C613" s="7" t="s">
        <v>714</v>
      </c>
      <c r="D613" s="7" t="s">
        <v>2620</v>
      </c>
      <c r="E613" s="7" t="s">
        <v>2621</v>
      </c>
      <c r="F613" s="7" t="s">
        <v>289</v>
      </c>
      <c r="G613" s="7" t="s">
        <v>289</v>
      </c>
      <c r="H613" s="8">
        <v>4</v>
      </c>
      <c r="I613" s="7"/>
      <c r="J613" s="7"/>
      <c r="K613" s="7"/>
      <c r="L613" s="8"/>
      <c r="M613" s="8"/>
      <c r="N613" s="7"/>
      <c r="O613" s="7"/>
      <c r="P613" s="7" t="s">
        <v>87</v>
      </c>
      <c r="Q613" s="9">
        <v>46094</v>
      </c>
      <c r="R613" s="7" t="s">
        <v>290</v>
      </c>
      <c r="S613" s="10" t="s">
        <v>2622</v>
      </c>
    </row>
    <row r="614" spans="1:19" ht="27" x14ac:dyDescent="0.25">
      <c r="A614" s="17" t="s">
        <v>2623</v>
      </c>
      <c r="B614" s="7" t="s">
        <v>2624</v>
      </c>
      <c r="C614" s="7" t="s">
        <v>816</v>
      </c>
      <c r="D614" s="7"/>
      <c r="E614" s="7"/>
      <c r="F614" s="7" t="s">
        <v>289</v>
      </c>
      <c r="G614" s="7" t="s">
        <v>289</v>
      </c>
      <c r="H614" s="8"/>
      <c r="I614" s="7"/>
      <c r="J614" s="7"/>
      <c r="K614" s="7"/>
      <c r="L614" s="8"/>
      <c r="M614" s="8"/>
      <c r="N614" s="7"/>
      <c r="O614" s="7"/>
      <c r="P614" s="7" t="s">
        <v>87</v>
      </c>
      <c r="Q614" s="9">
        <v>46185</v>
      </c>
      <c r="R614" s="7" t="s">
        <v>290</v>
      </c>
      <c r="S614" s="10" t="s">
        <v>2625</v>
      </c>
    </row>
    <row r="615" spans="1:19" ht="81" x14ac:dyDescent="0.25">
      <c r="A615" s="17" t="s">
        <v>2626</v>
      </c>
      <c r="B615" s="7" t="s">
        <v>2627</v>
      </c>
      <c r="C615" s="7" t="s">
        <v>500</v>
      </c>
      <c r="D615" s="7" t="s">
        <v>2628</v>
      </c>
      <c r="E615" s="7" t="s">
        <v>361</v>
      </c>
      <c r="F615" s="7" t="s">
        <v>25</v>
      </c>
      <c r="G615" s="7" t="s">
        <v>25</v>
      </c>
      <c r="H615" s="8">
        <v>1000</v>
      </c>
      <c r="I615" s="7"/>
      <c r="J615" s="7"/>
      <c r="K615" s="7"/>
      <c r="L615" s="8"/>
      <c r="M615" s="8"/>
      <c r="N615" s="7"/>
      <c r="O615" s="7"/>
      <c r="P615" s="7" t="s">
        <v>87</v>
      </c>
      <c r="Q615" s="9">
        <v>46126</v>
      </c>
      <c r="R615" s="7" t="s">
        <v>290</v>
      </c>
      <c r="S615" s="10" t="s">
        <v>2629</v>
      </c>
    </row>
    <row r="616" spans="1:19" ht="27" x14ac:dyDescent="0.25">
      <c r="A616" s="17" t="s">
        <v>2630</v>
      </c>
      <c r="B616" s="7" t="s">
        <v>2631</v>
      </c>
      <c r="C616" s="7" t="s">
        <v>338</v>
      </c>
      <c r="D616" s="7"/>
      <c r="E616" s="7"/>
      <c r="F616" s="7" t="s">
        <v>289</v>
      </c>
      <c r="G616" s="7" t="s">
        <v>289</v>
      </c>
      <c r="H616" s="8"/>
      <c r="I616" s="7"/>
      <c r="J616" s="7"/>
      <c r="K616" s="7"/>
      <c r="L616" s="8"/>
      <c r="M616" s="8"/>
      <c r="N616" s="7"/>
      <c r="O616" s="7"/>
      <c r="P616" s="7" t="s">
        <v>87</v>
      </c>
      <c r="Q616" s="9">
        <v>46185</v>
      </c>
      <c r="R616" s="7" t="s">
        <v>290</v>
      </c>
      <c r="S616" s="10" t="s">
        <v>2632</v>
      </c>
    </row>
    <row r="617" spans="1:19" ht="81" x14ac:dyDescent="0.25">
      <c r="A617" s="17" t="s">
        <v>2633</v>
      </c>
      <c r="B617" s="7" t="s">
        <v>2634</v>
      </c>
      <c r="C617" s="7" t="s">
        <v>411</v>
      </c>
      <c r="D617" s="7" t="s">
        <v>2635</v>
      </c>
      <c r="E617" s="7" t="s">
        <v>2636</v>
      </c>
      <c r="F617" s="7" t="s">
        <v>25</v>
      </c>
      <c r="G617" s="7" t="s">
        <v>25</v>
      </c>
      <c r="H617" s="8">
        <v>907</v>
      </c>
      <c r="I617" s="7"/>
      <c r="J617" s="7"/>
      <c r="K617" s="7"/>
      <c r="L617" s="8"/>
      <c r="M617" s="8"/>
      <c r="N617" s="7"/>
      <c r="O617" s="7"/>
      <c r="P617" s="7" t="s">
        <v>87</v>
      </c>
      <c r="Q617" s="9">
        <v>46149</v>
      </c>
      <c r="R617" s="7" t="s">
        <v>290</v>
      </c>
      <c r="S617" s="10" t="s">
        <v>2637</v>
      </c>
    </row>
    <row r="618" spans="1:19" ht="81" x14ac:dyDescent="0.25">
      <c r="A618" s="17" t="s">
        <v>2638</v>
      </c>
      <c r="B618" s="7" t="s">
        <v>2639</v>
      </c>
      <c r="C618" s="7" t="s">
        <v>2640</v>
      </c>
      <c r="D618" s="7" t="s">
        <v>2641</v>
      </c>
      <c r="E618" s="7" t="s">
        <v>361</v>
      </c>
      <c r="F618" s="7" t="s">
        <v>25</v>
      </c>
      <c r="G618" s="7" t="s">
        <v>25</v>
      </c>
      <c r="H618" s="8">
        <v>1000</v>
      </c>
      <c r="I618" s="7"/>
      <c r="J618" s="7"/>
      <c r="K618" s="7"/>
      <c r="L618" s="8"/>
      <c r="M618" s="8"/>
      <c r="N618" s="7"/>
      <c r="O618" s="7"/>
      <c r="P618" s="7" t="s">
        <v>87</v>
      </c>
      <c r="Q618" s="9">
        <v>46076</v>
      </c>
      <c r="R618" s="7" t="s">
        <v>290</v>
      </c>
      <c r="S618" s="10" t="s">
        <v>2642</v>
      </c>
    </row>
    <row r="619" spans="1:19" ht="40.5" x14ac:dyDescent="0.25">
      <c r="A619" s="17" t="s">
        <v>2643</v>
      </c>
      <c r="B619" s="7" t="s">
        <v>2644</v>
      </c>
      <c r="C619" s="7" t="s">
        <v>407</v>
      </c>
      <c r="D619" s="7"/>
      <c r="E619" s="7"/>
      <c r="F619" s="7" t="s">
        <v>25</v>
      </c>
      <c r="G619" s="7" t="s">
        <v>25</v>
      </c>
      <c r="H619" s="8"/>
      <c r="I619" s="7"/>
      <c r="J619" s="7"/>
      <c r="K619" s="7"/>
      <c r="L619" s="8"/>
      <c r="M619" s="8"/>
      <c r="N619" s="7"/>
      <c r="O619" s="7"/>
      <c r="P619" s="7" t="s">
        <v>87</v>
      </c>
      <c r="Q619" s="9">
        <v>46097</v>
      </c>
      <c r="R619" s="7" t="s">
        <v>290</v>
      </c>
      <c r="S619" s="10" t="s">
        <v>2645</v>
      </c>
    </row>
    <row r="620" spans="1:19" ht="81" x14ac:dyDescent="0.25">
      <c r="A620" s="17" t="s">
        <v>2646</v>
      </c>
      <c r="B620" s="7" t="s">
        <v>2647</v>
      </c>
      <c r="C620" s="7" t="s">
        <v>1101</v>
      </c>
      <c r="D620" s="7" t="s">
        <v>2648</v>
      </c>
      <c r="E620" s="7" t="s">
        <v>2649</v>
      </c>
      <c r="F620" s="7" t="s">
        <v>289</v>
      </c>
      <c r="G620" s="7" t="s">
        <v>289</v>
      </c>
      <c r="H620" s="8">
        <v>250</v>
      </c>
      <c r="I620" s="7"/>
      <c r="J620" s="7"/>
      <c r="K620" s="7"/>
      <c r="L620" s="8"/>
      <c r="M620" s="8"/>
      <c r="N620" s="7"/>
      <c r="O620" s="7"/>
      <c r="P620" s="7" t="s">
        <v>87</v>
      </c>
      <c r="Q620" s="9">
        <v>46072</v>
      </c>
      <c r="R620" s="7" t="s">
        <v>290</v>
      </c>
      <c r="S620" s="10" t="s">
        <v>2650</v>
      </c>
    </row>
    <row r="621" spans="1:19" ht="67.5" x14ac:dyDescent="0.25">
      <c r="A621" s="17" t="s">
        <v>2651</v>
      </c>
      <c r="B621" s="7" t="s">
        <v>2652</v>
      </c>
      <c r="C621" s="7" t="s">
        <v>348</v>
      </c>
      <c r="D621" s="7" t="s">
        <v>2653</v>
      </c>
      <c r="E621" s="7" t="s">
        <v>355</v>
      </c>
      <c r="F621" s="7" t="s">
        <v>289</v>
      </c>
      <c r="G621" s="7" t="s">
        <v>289</v>
      </c>
      <c r="H621" s="8">
        <v>6</v>
      </c>
      <c r="I621" s="7"/>
      <c r="J621" s="7"/>
      <c r="K621" s="7"/>
      <c r="L621" s="8"/>
      <c r="M621" s="8"/>
      <c r="N621" s="7"/>
      <c r="O621" s="7"/>
      <c r="P621" s="7" t="s">
        <v>87</v>
      </c>
      <c r="Q621" s="9">
        <v>46126</v>
      </c>
      <c r="R621" s="7" t="s">
        <v>290</v>
      </c>
      <c r="S621" s="10" t="s">
        <v>2654</v>
      </c>
    </row>
    <row r="622" spans="1:19" ht="67.5" x14ac:dyDescent="0.25">
      <c r="A622" s="17" t="s">
        <v>2655</v>
      </c>
      <c r="B622" s="7" t="s">
        <v>2656</v>
      </c>
      <c r="C622" s="7" t="s">
        <v>348</v>
      </c>
      <c r="D622" s="7" t="s">
        <v>2657</v>
      </c>
      <c r="E622" s="7" t="s">
        <v>355</v>
      </c>
      <c r="F622" s="7" t="s">
        <v>289</v>
      </c>
      <c r="G622" s="7" t="s">
        <v>289</v>
      </c>
      <c r="H622" s="8">
        <v>15</v>
      </c>
      <c r="I622" s="7"/>
      <c r="J622" s="7"/>
      <c r="K622" s="7"/>
      <c r="L622" s="8"/>
      <c r="M622" s="8"/>
      <c r="N622" s="7"/>
      <c r="O622" s="7"/>
      <c r="P622" s="7" t="s">
        <v>87</v>
      </c>
      <c r="Q622" s="9">
        <v>46126</v>
      </c>
      <c r="R622" s="7" t="s">
        <v>290</v>
      </c>
      <c r="S622" s="10" t="s">
        <v>2658</v>
      </c>
    </row>
    <row r="623" spans="1:19" ht="81" x14ac:dyDescent="0.25">
      <c r="A623" s="17" t="s">
        <v>2659</v>
      </c>
      <c r="B623" s="7" t="s">
        <v>2660</v>
      </c>
      <c r="C623" s="7" t="s">
        <v>500</v>
      </c>
      <c r="D623" s="7" t="s">
        <v>2661</v>
      </c>
      <c r="E623" s="7" t="s">
        <v>776</v>
      </c>
      <c r="F623" s="7" t="s">
        <v>289</v>
      </c>
      <c r="G623" s="7" t="s">
        <v>289</v>
      </c>
      <c r="H623" s="8">
        <v>1</v>
      </c>
      <c r="I623" s="7"/>
      <c r="J623" s="7"/>
      <c r="K623" s="7"/>
      <c r="L623" s="8"/>
      <c r="M623" s="8"/>
      <c r="N623" s="7"/>
      <c r="O623" s="7"/>
      <c r="P623" s="7" t="s">
        <v>87</v>
      </c>
      <c r="Q623" s="9">
        <v>46076</v>
      </c>
      <c r="R623" s="7" t="s">
        <v>290</v>
      </c>
      <c r="S623" s="10" t="s">
        <v>2662</v>
      </c>
    </row>
    <row r="624" spans="1:19" ht="40.5" x14ac:dyDescent="0.25">
      <c r="A624" s="17" t="s">
        <v>2663</v>
      </c>
      <c r="B624" s="7" t="s">
        <v>2664</v>
      </c>
      <c r="C624" s="7" t="s">
        <v>1138</v>
      </c>
      <c r="D624" s="7"/>
      <c r="E624" s="7"/>
      <c r="F624" s="7" t="s">
        <v>25</v>
      </c>
      <c r="G624" s="7" t="s">
        <v>25</v>
      </c>
      <c r="H624" s="8"/>
      <c r="I624" s="7"/>
      <c r="J624" s="7"/>
      <c r="K624" s="7"/>
      <c r="L624" s="8"/>
      <c r="M624" s="8"/>
      <c r="N624" s="7"/>
      <c r="O624" s="7"/>
      <c r="P624" s="7" t="s">
        <v>87</v>
      </c>
      <c r="Q624" s="9">
        <v>46203</v>
      </c>
      <c r="R624" s="7" t="s">
        <v>290</v>
      </c>
      <c r="S624" s="10" t="s">
        <v>2665</v>
      </c>
    </row>
    <row r="625" spans="1:19" ht="81" x14ac:dyDescent="0.25">
      <c r="A625" s="17" t="s">
        <v>2666</v>
      </c>
      <c r="B625" s="7" t="s">
        <v>2667</v>
      </c>
      <c r="C625" s="7" t="s">
        <v>1404</v>
      </c>
      <c r="D625" s="7" t="s">
        <v>2668</v>
      </c>
      <c r="E625" s="7" t="s">
        <v>361</v>
      </c>
      <c r="F625" s="7" t="s">
        <v>25</v>
      </c>
      <c r="G625" s="7" t="s">
        <v>25</v>
      </c>
      <c r="H625" s="8">
        <v>1000</v>
      </c>
      <c r="I625" s="7"/>
      <c r="J625" s="7"/>
      <c r="K625" s="7"/>
      <c r="L625" s="8"/>
      <c r="M625" s="8"/>
      <c r="N625" s="7"/>
      <c r="O625" s="7"/>
      <c r="P625" s="7" t="s">
        <v>87</v>
      </c>
      <c r="Q625" s="9">
        <v>46076</v>
      </c>
      <c r="R625" s="7" t="s">
        <v>290</v>
      </c>
      <c r="S625" s="10" t="s">
        <v>2669</v>
      </c>
    </row>
    <row r="626" spans="1:19" ht="81" x14ac:dyDescent="0.25">
      <c r="A626" s="17" t="s">
        <v>2670</v>
      </c>
      <c r="B626" s="7" t="s">
        <v>2671</v>
      </c>
      <c r="C626" s="7" t="s">
        <v>1050</v>
      </c>
      <c r="D626" s="7" t="s">
        <v>2672</v>
      </c>
      <c r="E626" s="7" t="s">
        <v>523</v>
      </c>
      <c r="F626" s="7" t="s">
        <v>25</v>
      </c>
      <c r="G626" s="7" t="s">
        <v>25</v>
      </c>
      <c r="H626" s="8">
        <v>500</v>
      </c>
      <c r="I626" s="7"/>
      <c r="J626" s="7"/>
      <c r="K626" s="7"/>
      <c r="L626" s="8"/>
      <c r="M626" s="8"/>
      <c r="N626" s="7"/>
      <c r="O626" s="7"/>
      <c r="P626" s="7" t="s">
        <v>87</v>
      </c>
      <c r="Q626" s="9">
        <v>46097</v>
      </c>
      <c r="R626" s="7" t="s">
        <v>290</v>
      </c>
      <c r="S626" s="10" t="s">
        <v>2673</v>
      </c>
    </row>
    <row r="627" spans="1:19" ht="67.5" x14ac:dyDescent="0.25">
      <c r="A627" s="17" t="s">
        <v>2674</v>
      </c>
      <c r="B627" s="7" t="s">
        <v>2675</v>
      </c>
      <c r="C627" s="7" t="s">
        <v>298</v>
      </c>
      <c r="D627" s="7" t="s">
        <v>2676</v>
      </c>
      <c r="E627" s="7" t="s">
        <v>2677</v>
      </c>
      <c r="F627" s="7" t="s">
        <v>25</v>
      </c>
      <c r="G627" s="7" t="s">
        <v>25</v>
      </c>
      <c r="H627" s="8">
        <v>1000</v>
      </c>
      <c r="I627" s="7"/>
      <c r="J627" s="7"/>
      <c r="K627" s="7"/>
      <c r="L627" s="8"/>
      <c r="M627" s="8"/>
      <c r="N627" s="7"/>
      <c r="O627" s="7"/>
      <c r="P627" s="7" t="s">
        <v>87</v>
      </c>
      <c r="Q627" s="9">
        <v>46091</v>
      </c>
      <c r="R627" s="7" t="s">
        <v>290</v>
      </c>
      <c r="S627" s="10" t="s">
        <v>2678</v>
      </c>
    </row>
    <row r="628" spans="1:19" ht="40.5" x14ac:dyDescent="0.25">
      <c r="A628" s="17" t="s">
        <v>2679</v>
      </c>
      <c r="B628" s="7" t="s">
        <v>2680</v>
      </c>
      <c r="C628" s="7" t="s">
        <v>604</v>
      </c>
      <c r="D628" s="7"/>
      <c r="E628" s="7"/>
      <c r="F628" s="7" t="s">
        <v>289</v>
      </c>
      <c r="G628" s="7" t="s">
        <v>289</v>
      </c>
      <c r="H628" s="8"/>
      <c r="I628" s="7"/>
      <c r="J628" s="7"/>
      <c r="K628" s="7"/>
      <c r="L628" s="8"/>
      <c r="M628" s="8"/>
      <c r="N628" s="7"/>
      <c r="O628" s="7"/>
      <c r="P628" s="7" t="s">
        <v>87</v>
      </c>
      <c r="Q628" s="9">
        <v>46192</v>
      </c>
      <c r="R628" s="7" t="s">
        <v>290</v>
      </c>
      <c r="S628" s="10" t="s">
        <v>2681</v>
      </c>
    </row>
    <row r="629" spans="1:19" ht="81" x14ac:dyDescent="0.25">
      <c r="A629" s="17" t="s">
        <v>2682</v>
      </c>
      <c r="B629" s="7" t="s">
        <v>2683</v>
      </c>
      <c r="C629" s="7" t="s">
        <v>359</v>
      </c>
      <c r="D629" s="7" t="s">
        <v>2684</v>
      </c>
      <c r="E629" s="7" t="s">
        <v>361</v>
      </c>
      <c r="F629" s="7" t="s">
        <v>25</v>
      </c>
      <c r="G629" s="7" t="s">
        <v>25</v>
      </c>
      <c r="H629" s="8">
        <v>1000</v>
      </c>
      <c r="I629" s="7"/>
      <c r="J629" s="7"/>
      <c r="K629" s="7"/>
      <c r="L629" s="8"/>
      <c r="M629" s="8"/>
      <c r="N629" s="7"/>
      <c r="O629" s="7"/>
      <c r="P629" s="7" t="s">
        <v>87</v>
      </c>
      <c r="Q629" s="9">
        <v>46107</v>
      </c>
      <c r="R629" s="7" t="s">
        <v>290</v>
      </c>
      <c r="S629" s="10" t="s">
        <v>2685</v>
      </c>
    </row>
    <row r="630" spans="1:19" ht="81" x14ac:dyDescent="0.25">
      <c r="A630" s="17" t="s">
        <v>2686</v>
      </c>
      <c r="B630" s="7" t="s">
        <v>2687</v>
      </c>
      <c r="C630" s="7" t="s">
        <v>359</v>
      </c>
      <c r="D630" s="7" t="s">
        <v>2688</v>
      </c>
      <c r="E630" s="7" t="s">
        <v>361</v>
      </c>
      <c r="F630" s="7" t="s">
        <v>25</v>
      </c>
      <c r="G630" s="7" t="s">
        <v>25</v>
      </c>
      <c r="H630" s="8">
        <v>1000</v>
      </c>
      <c r="I630" s="7"/>
      <c r="J630" s="7"/>
      <c r="K630" s="7"/>
      <c r="L630" s="8"/>
      <c r="M630" s="8"/>
      <c r="N630" s="7"/>
      <c r="O630" s="7"/>
      <c r="P630" s="7" t="s">
        <v>87</v>
      </c>
      <c r="Q630" s="9">
        <v>46107</v>
      </c>
      <c r="R630" s="7" t="s">
        <v>290</v>
      </c>
      <c r="S630" s="10" t="s">
        <v>2689</v>
      </c>
    </row>
    <row r="631" spans="1:19" ht="67.5" x14ac:dyDescent="0.25">
      <c r="A631" s="17" t="s">
        <v>2690</v>
      </c>
      <c r="B631" s="7" t="s">
        <v>2691</v>
      </c>
      <c r="C631" s="7" t="s">
        <v>407</v>
      </c>
      <c r="D631" s="7" t="s">
        <v>2692</v>
      </c>
      <c r="E631" s="7" t="s">
        <v>2677</v>
      </c>
      <c r="F631" s="7" t="s">
        <v>25</v>
      </c>
      <c r="G631" s="7" t="s">
        <v>25</v>
      </c>
      <c r="H631" s="8">
        <v>1000</v>
      </c>
      <c r="I631" s="7"/>
      <c r="J631" s="7"/>
      <c r="K631" s="7"/>
      <c r="L631" s="8"/>
      <c r="M631" s="8"/>
      <c r="N631" s="7"/>
      <c r="O631" s="7"/>
      <c r="P631" s="7" t="s">
        <v>87</v>
      </c>
      <c r="Q631" s="9">
        <v>46091</v>
      </c>
      <c r="R631" s="7" t="s">
        <v>290</v>
      </c>
      <c r="S631" s="10" t="s">
        <v>2693</v>
      </c>
    </row>
    <row r="632" spans="1:19" ht="81" x14ac:dyDescent="0.25">
      <c r="A632" s="17" t="s">
        <v>2694</v>
      </c>
      <c r="B632" s="7" t="s">
        <v>2695</v>
      </c>
      <c r="C632" s="7" t="s">
        <v>388</v>
      </c>
      <c r="D632" s="7" t="s">
        <v>2696</v>
      </c>
      <c r="E632" s="7" t="s">
        <v>361</v>
      </c>
      <c r="F632" s="7" t="s">
        <v>25</v>
      </c>
      <c r="G632" s="7" t="s">
        <v>25</v>
      </c>
      <c r="H632" s="8">
        <v>1000</v>
      </c>
      <c r="I632" s="7"/>
      <c r="J632" s="7"/>
      <c r="K632" s="7"/>
      <c r="L632" s="8"/>
      <c r="M632" s="8"/>
      <c r="N632" s="7"/>
      <c r="O632" s="7"/>
      <c r="P632" s="7" t="s">
        <v>87</v>
      </c>
      <c r="Q632" s="9">
        <v>46097</v>
      </c>
      <c r="R632" s="7" t="s">
        <v>290</v>
      </c>
      <c r="S632" s="10" t="s">
        <v>2697</v>
      </c>
    </row>
    <row r="633" spans="1:19" ht="81" x14ac:dyDescent="0.25">
      <c r="A633" s="17" t="s">
        <v>2698</v>
      </c>
      <c r="B633" s="7" t="s">
        <v>2699</v>
      </c>
      <c r="C633" s="7" t="s">
        <v>500</v>
      </c>
      <c r="D633" s="7" t="s">
        <v>2700</v>
      </c>
      <c r="E633" s="7" t="s">
        <v>361</v>
      </c>
      <c r="F633" s="7" t="s">
        <v>25</v>
      </c>
      <c r="G633" s="7" t="s">
        <v>25</v>
      </c>
      <c r="H633" s="8">
        <v>1000</v>
      </c>
      <c r="I633" s="7"/>
      <c r="J633" s="7"/>
      <c r="K633" s="7"/>
      <c r="L633" s="8"/>
      <c r="M633" s="8"/>
      <c r="N633" s="7"/>
      <c r="O633" s="7"/>
      <c r="P633" s="7" t="s">
        <v>87</v>
      </c>
      <c r="Q633" s="9">
        <v>46107</v>
      </c>
      <c r="R633" s="7" t="s">
        <v>290</v>
      </c>
      <c r="S633" s="10" t="s">
        <v>2701</v>
      </c>
    </row>
    <row r="634" spans="1:19" ht="40.5" x14ac:dyDescent="0.25">
      <c r="A634" s="17" t="s">
        <v>2702</v>
      </c>
      <c r="B634" s="7" t="s">
        <v>2703</v>
      </c>
      <c r="C634" s="7" t="s">
        <v>407</v>
      </c>
      <c r="D634" s="7"/>
      <c r="E634" s="7"/>
      <c r="F634" s="7" t="s">
        <v>25</v>
      </c>
      <c r="G634" s="7" t="s">
        <v>25</v>
      </c>
      <c r="H634" s="8"/>
      <c r="I634" s="7"/>
      <c r="J634" s="7"/>
      <c r="K634" s="7"/>
      <c r="L634" s="8"/>
      <c r="M634" s="8"/>
      <c r="N634" s="7"/>
      <c r="O634" s="7"/>
      <c r="P634" s="7" t="s">
        <v>87</v>
      </c>
      <c r="Q634" s="9">
        <v>46091</v>
      </c>
      <c r="R634" s="7" t="s">
        <v>290</v>
      </c>
      <c r="S634" s="10" t="s">
        <v>2704</v>
      </c>
    </row>
    <row r="635" spans="1:19" ht="40.5" x14ac:dyDescent="0.25">
      <c r="A635" s="17" t="s">
        <v>2705</v>
      </c>
      <c r="B635" s="7" t="s">
        <v>2706</v>
      </c>
      <c r="C635" s="7" t="s">
        <v>378</v>
      </c>
      <c r="D635" s="7"/>
      <c r="E635" s="7"/>
      <c r="F635" s="7" t="s">
        <v>289</v>
      </c>
      <c r="G635" s="7" t="s">
        <v>289</v>
      </c>
      <c r="H635" s="8"/>
      <c r="I635" s="7"/>
      <c r="J635" s="7"/>
      <c r="K635" s="7"/>
      <c r="L635" s="8"/>
      <c r="M635" s="8"/>
      <c r="N635" s="7"/>
      <c r="O635" s="7"/>
      <c r="P635" s="7" t="s">
        <v>87</v>
      </c>
      <c r="Q635" s="9">
        <v>46192</v>
      </c>
      <c r="R635" s="7" t="s">
        <v>290</v>
      </c>
      <c r="S635" s="10" t="s">
        <v>2707</v>
      </c>
    </row>
    <row r="636" spans="1:19" ht="40.5" x14ac:dyDescent="0.25">
      <c r="A636" s="17" t="s">
        <v>2708</v>
      </c>
      <c r="B636" s="7" t="s">
        <v>2709</v>
      </c>
      <c r="C636" s="7" t="s">
        <v>604</v>
      </c>
      <c r="D636" s="7"/>
      <c r="E636" s="7"/>
      <c r="F636" s="7" t="s">
        <v>289</v>
      </c>
      <c r="G636" s="7" t="s">
        <v>289</v>
      </c>
      <c r="H636" s="8"/>
      <c r="I636" s="7"/>
      <c r="J636" s="7"/>
      <c r="K636" s="7"/>
      <c r="L636" s="8"/>
      <c r="M636" s="8"/>
      <c r="N636" s="7"/>
      <c r="O636" s="7"/>
      <c r="P636" s="7" t="s">
        <v>87</v>
      </c>
      <c r="Q636" s="9">
        <v>46192</v>
      </c>
      <c r="R636" s="7" t="s">
        <v>290</v>
      </c>
      <c r="S636" s="10" t="s">
        <v>2710</v>
      </c>
    </row>
    <row r="637" spans="1:19" ht="81" x14ac:dyDescent="0.25">
      <c r="A637" s="17" t="s">
        <v>2711</v>
      </c>
      <c r="B637" s="7" t="s">
        <v>2712</v>
      </c>
      <c r="C637" s="7" t="s">
        <v>2312</v>
      </c>
      <c r="D637" s="7" t="s">
        <v>2713</v>
      </c>
      <c r="E637" s="7" t="s">
        <v>1699</v>
      </c>
      <c r="F637" s="7" t="s">
        <v>289</v>
      </c>
      <c r="G637" s="7" t="s">
        <v>289</v>
      </c>
      <c r="H637" s="8">
        <v>100</v>
      </c>
      <c r="I637" s="7"/>
      <c r="J637" s="7"/>
      <c r="K637" s="7"/>
      <c r="L637" s="8"/>
      <c r="M637" s="8"/>
      <c r="N637" s="7"/>
      <c r="O637" s="7"/>
      <c r="P637" s="7" t="s">
        <v>87</v>
      </c>
      <c r="Q637" s="9">
        <v>46203</v>
      </c>
      <c r="R637" s="7" t="s">
        <v>290</v>
      </c>
      <c r="S637" s="10" t="s">
        <v>2714</v>
      </c>
    </row>
    <row r="638" spans="1:19" ht="40.5" x14ac:dyDescent="0.25">
      <c r="A638" s="17" t="s">
        <v>2715</v>
      </c>
      <c r="B638" s="7" t="s">
        <v>2716</v>
      </c>
      <c r="C638" s="7" t="s">
        <v>596</v>
      </c>
      <c r="D638" s="7"/>
      <c r="E638" s="7"/>
      <c r="F638" s="7" t="s">
        <v>289</v>
      </c>
      <c r="G638" s="7" t="s">
        <v>289</v>
      </c>
      <c r="H638" s="8"/>
      <c r="I638" s="7"/>
      <c r="J638" s="7"/>
      <c r="K638" s="7"/>
      <c r="L638" s="8"/>
      <c r="M638" s="8"/>
      <c r="N638" s="7"/>
      <c r="O638" s="7"/>
      <c r="P638" s="7" t="s">
        <v>87</v>
      </c>
      <c r="Q638" s="9">
        <v>46192</v>
      </c>
      <c r="R638" s="7" t="s">
        <v>290</v>
      </c>
      <c r="S638" s="10" t="s">
        <v>2717</v>
      </c>
    </row>
    <row r="639" spans="1:19" ht="54" x14ac:dyDescent="0.25">
      <c r="A639" s="17" t="s">
        <v>2718</v>
      </c>
      <c r="B639" s="7" t="s">
        <v>2719</v>
      </c>
      <c r="C639" s="7" t="s">
        <v>437</v>
      </c>
      <c r="D639" s="7" t="s">
        <v>2720</v>
      </c>
      <c r="E639" s="7" t="s">
        <v>439</v>
      </c>
      <c r="F639" s="7" t="s">
        <v>289</v>
      </c>
      <c r="G639" s="7" t="s">
        <v>289</v>
      </c>
      <c r="H639" s="8">
        <v>1</v>
      </c>
      <c r="I639" s="7"/>
      <c r="J639" s="7"/>
      <c r="K639" s="7"/>
      <c r="L639" s="8"/>
      <c r="M639" s="8"/>
      <c r="N639" s="7"/>
      <c r="O639" s="7"/>
      <c r="P639" s="7" t="s">
        <v>87</v>
      </c>
      <c r="Q639" s="9">
        <v>46121</v>
      </c>
      <c r="R639" s="7" t="s">
        <v>290</v>
      </c>
      <c r="S639" s="10" t="s">
        <v>2721</v>
      </c>
    </row>
    <row r="640" spans="1:19" ht="81" x14ac:dyDescent="0.25">
      <c r="A640" s="17" t="s">
        <v>2722</v>
      </c>
      <c r="B640" s="7" t="s">
        <v>2723</v>
      </c>
      <c r="C640" s="7" t="s">
        <v>411</v>
      </c>
      <c r="D640" s="7" t="s">
        <v>2724</v>
      </c>
      <c r="E640" s="7" t="s">
        <v>2725</v>
      </c>
      <c r="F640" s="7" t="s">
        <v>25</v>
      </c>
      <c r="G640" s="7" t="s">
        <v>25</v>
      </c>
      <c r="H640" s="8">
        <v>680</v>
      </c>
      <c r="I640" s="7"/>
      <c r="J640" s="7"/>
      <c r="K640" s="7"/>
      <c r="L640" s="8"/>
      <c r="M640" s="8"/>
      <c r="N640" s="7"/>
      <c r="O640" s="7"/>
      <c r="P640" s="7" t="s">
        <v>87</v>
      </c>
      <c r="Q640" s="9">
        <v>46150</v>
      </c>
      <c r="R640" s="7" t="s">
        <v>290</v>
      </c>
      <c r="S640" s="10" t="s">
        <v>2726</v>
      </c>
    </row>
    <row r="641" spans="1:19" ht="27" x14ac:dyDescent="0.25">
      <c r="A641" s="17" t="s">
        <v>2727</v>
      </c>
      <c r="B641" s="7" t="s">
        <v>2728</v>
      </c>
      <c r="C641" s="7" t="s">
        <v>338</v>
      </c>
      <c r="D641" s="7"/>
      <c r="E641" s="7"/>
      <c r="F641" s="7" t="s">
        <v>289</v>
      </c>
      <c r="G641" s="7" t="s">
        <v>289</v>
      </c>
      <c r="H641" s="8"/>
      <c r="I641" s="7"/>
      <c r="J641" s="7"/>
      <c r="K641" s="7"/>
      <c r="L641" s="8"/>
      <c r="M641" s="8"/>
      <c r="N641" s="7"/>
      <c r="O641" s="7"/>
      <c r="P641" s="7" t="s">
        <v>87</v>
      </c>
      <c r="Q641" s="9">
        <v>46185</v>
      </c>
      <c r="R641" s="7" t="s">
        <v>290</v>
      </c>
      <c r="S641" s="10" t="s">
        <v>2729</v>
      </c>
    </row>
    <row r="642" spans="1:19" ht="27" x14ac:dyDescent="0.25">
      <c r="A642" s="17" t="s">
        <v>2730</v>
      </c>
      <c r="B642" s="7" t="s">
        <v>2731</v>
      </c>
      <c r="C642" s="7" t="s">
        <v>437</v>
      </c>
      <c r="D642" s="7"/>
      <c r="E642" s="7"/>
      <c r="F642" s="7" t="s">
        <v>289</v>
      </c>
      <c r="G642" s="7" t="s">
        <v>289</v>
      </c>
      <c r="H642" s="8"/>
      <c r="I642" s="7"/>
      <c r="J642" s="7"/>
      <c r="K642" s="7"/>
      <c r="L642" s="8"/>
      <c r="M642" s="8"/>
      <c r="N642" s="7"/>
      <c r="O642" s="7"/>
      <c r="P642" s="7" t="s">
        <v>87</v>
      </c>
      <c r="Q642" s="9">
        <v>46197</v>
      </c>
      <c r="R642" s="7" t="s">
        <v>290</v>
      </c>
      <c r="S642" s="10" t="s">
        <v>2732</v>
      </c>
    </row>
    <row r="643" spans="1:19" ht="81" x14ac:dyDescent="0.25">
      <c r="A643" s="17" t="s">
        <v>2733</v>
      </c>
      <c r="B643" s="7" t="s">
        <v>2734</v>
      </c>
      <c r="C643" s="7" t="s">
        <v>2312</v>
      </c>
      <c r="D643" s="7" t="s">
        <v>2735</v>
      </c>
      <c r="E643" s="7" t="s">
        <v>558</v>
      </c>
      <c r="F643" s="7" t="s">
        <v>289</v>
      </c>
      <c r="G643" s="7" t="s">
        <v>289</v>
      </c>
      <c r="H643" s="8">
        <v>200</v>
      </c>
      <c r="I643" s="7"/>
      <c r="J643" s="7"/>
      <c r="K643" s="7"/>
      <c r="L643" s="8"/>
      <c r="M643" s="8"/>
      <c r="N643" s="7"/>
      <c r="O643" s="7"/>
      <c r="P643" s="7" t="s">
        <v>87</v>
      </c>
      <c r="Q643" s="9">
        <v>46094</v>
      </c>
      <c r="R643" s="7" t="s">
        <v>290</v>
      </c>
      <c r="S643" s="10" t="s">
        <v>2736</v>
      </c>
    </row>
    <row r="644" spans="1:19" ht="81" x14ac:dyDescent="0.25">
      <c r="A644" s="17" t="s">
        <v>2737</v>
      </c>
      <c r="B644" s="7" t="s">
        <v>2738</v>
      </c>
      <c r="C644" s="7" t="s">
        <v>745</v>
      </c>
      <c r="D644" s="59" t="s">
        <v>2739</v>
      </c>
      <c r="E644" s="7" t="s">
        <v>558</v>
      </c>
      <c r="F644" s="7" t="s">
        <v>289</v>
      </c>
      <c r="G644" s="7" t="s">
        <v>289</v>
      </c>
      <c r="H644" s="8">
        <v>200</v>
      </c>
      <c r="I644" s="7"/>
      <c r="J644" s="7"/>
      <c r="K644" s="7"/>
      <c r="L644" s="8"/>
      <c r="M644" s="8"/>
      <c r="N644" s="7"/>
      <c r="O644" s="7"/>
      <c r="P644" s="7" t="s">
        <v>87</v>
      </c>
      <c r="Q644" s="9">
        <v>46172</v>
      </c>
      <c r="R644" s="7" t="s">
        <v>290</v>
      </c>
      <c r="S644" s="10" t="s">
        <v>2740</v>
      </c>
    </row>
    <row r="645" spans="1:19" ht="81" x14ac:dyDescent="0.25">
      <c r="A645" s="17" t="s">
        <v>2741</v>
      </c>
      <c r="B645" s="7" t="s">
        <v>2742</v>
      </c>
      <c r="C645" s="7" t="s">
        <v>2312</v>
      </c>
      <c r="D645" s="7" t="s">
        <v>2743</v>
      </c>
      <c r="E645" s="7" t="s">
        <v>1870</v>
      </c>
      <c r="F645" s="7" t="s">
        <v>289</v>
      </c>
      <c r="G645" s="7" t="s">
        <v>289</v>
      </c>
      <c r="H645" s="8">
        <v>100</v>
      </c>
      <c r="I645" s="7"/>
      <c r="J645" s="7"/>
      <c r="K645" s="7"/>
      <c r="L645" s="8"/>
      <c r="M645" s="8"/>
      <c r="N645" s="7"/>
      <c r="O645" s="7"/>
      <c r="P645" s="7" t="s">
        <v>87</v>
      </c>
      <c r="Q645" s="9">
        <v>46106</v>
      </c>
      <c r="R645" s="7" t="s">
        <v>290</v>
      </c>
      <c r="S645" s="10" t="s">
        <v>2744</v>
      </c>
    </row>
    <row r="646" spans="1:19" ht="27" x14ac:dyDescent="0.25">
      <c r="A646" s="17" t="s">
        <v>2745</v>
      </c>
      <c r="B646" s="7" t="s">
        <v>2746</v>
      </c>
      <c r="C646" s="7" t="s">
        <v>701</v>
      </c>
      <c r="D646" s="7"/>
      <c r="E646" s="7"/>
      <c r="F646" s="7" t="s">
        <v>289</v>
      </c>
      <c r="G646" s="7" t="s">
        <v>289</v>
      </c>
      <c r="H646" s="8"/>
      <c r="I646" s="7"/>
      <c r="J646" s="7"/>
      <c r="K646" s="7"/>
      <c r="L646" s="8"/>
      <c r="M646" s="8"/>
      <c r="N646" s="7"/>
      <c r="O646" s="7"/>
      <c r="P646" s="7" t="s">
        <v>87</v>
      </c>
      <c r="Q646" s="9">
        <v>46196</v>
      </c>
      <c r="R646" s="7" t="s">
        <v>290</v>
      </c>
      <c r="S646" s="10" t="s">
        <v>2747</v>
      </c>
    </row>
    <row r="647" spans="1:19" ht="27" x14ac:dyDescent="0.25">
      <c r="A647" s="17" t="s">
        <v>2748</v>
      </c>
      <c r="B647" s="7" t="s">
        <v>2749</v>
      </c>
      <c r="C647" s="7" t="s">
        <v>701</v>
      </c>
      <c r="D647" s="7"/>
      <c r="E647" s="7"/>
      <c r="F647" s="7" t="s">
        <v>289</v>
      </c>
      <c r="G647" s="7" t="s">
        <v>289</v>
      </c>
      <c r="H647" s="8"/>
      <c r="I647" s="7"/>
      <c r="J647" s="7"/>
      <c r="K647" s="7"/>
      <c r="L647" s="8"/>
      <c r="M647" s="8"/>
      <c r="N647" s="7"/>
      <c r="O647" s="7"/>
      <c r="P647" s="7" t="s">
        <v>87</v>
      </c>
      <c r="Q647" s="9">
        <v>46196</v>
      </c>
      <c r="R647" s="7" t="s">
        <v>290</v>
      </c>
      <c r="S647" s="10" t="s">
        <v>2750</v>
      </c>
    </row>
    <row r="648" spans="1:19" ht="27" x14ac:dyDescent="0.25">
      <c r="A648" s="17" t="s">
        <v>2751</v>
      </c>
      <c r="B648" s="7" t="s">
        <v>2752</v>
      </c>
      <c r="C648" s="7" t="s">
        <v>701</v>
      </c>
      <c r="D648" s="7"/>
      <c r="E648" s="7"/>
      <c r="F648" s="7" t="s">
        <v>289</v>
      </c>
      <c r="G648" s="7" t="s">
        <v>289</v>
      </c>
      <c r="H648" s="8"/>
      <c r="I648" s="7"/>
      <c r="J648" s="7"/>
      <c r="K648" s="7"/>
      <c r="L648" s="8"/>
      <c r="M648" s="8"/>
      <c r="N648" s="7"/>
      <c r="O648" s="7"/>
      <c r="P648" s="7" t="s">
        <v>87</v>
      </c>
      <c r="Q648" s="9">
        <v>46196</v>
      </c>
      <c r="R648" s="7" t="s">
        <v>290</v>
      </c>
      <c r="S648" s="10" t="s">
        <v>2753</v>
      </c>
    </row>
    <row r="649" spans="1:19" ht="27" x14ac:dyDescent="0.25">
      <c r="A649" s="17" t="s">
        <v>2754</v>
      </c>
      <c r="B649" s="7" t="s">
        <v>2755</v>
      </c>
      <c r="C649" s="7" t="s">
        <v>701</v>
      </c>
      <c r="D649" s="7"/>
      <c r="E649" s="7"/>
      <c r="F649" s="7" t="s">
        <v>289</v>
      </c>
      <c r="G649" s="7" t="s">
        <v>289</v>
      </c>
      <c r="H649" s="8"/>
      <c r="I649" s="7"/>
      <c r="J649" s="7"/>
      <c r="K649" s="7"/>
      <c r="L649" s="8"/>
      <c r="M649" s="8"/>
      <c r="N649" s="7"/>
      <c r="O649" s="7"/>
      <c r="P649" s="7" t="s">
        <v>87</v>
      </c>
      <c r="Q649" s="9">
        <v>46196</v>
      </c>
      <c r="R649" s="7" t="s">
        <v>290</v>
      </c>
      <c r="S649" s="10" t="s">
        <v>2756</v>
      </c>
    </row>
    <row r="650" spans="1:19" ht="27" x14ac:dyDescent="0.25">
      <c r="A650" s="17" t="s">
        <v>2757</v>
      </c>
      <c r="B650" s="7" t="s">
        <v>2758</v>
      </c>
      <c r="C650" s="7" t="s">
        <v>701</v>
      </c>
      <c r="D650" s="7"/>
      <c r="E650" s="7"/>
      <c r="F650" s="7" t="s">
        <v>289</v>
      </c>
      <c r="G650" s="7" t="s">
        <v>289</v>
      </c>
      <c r="H650" s="8"/>
      <c r="I650" s="7"/>
      <c r="J650" s="7"/>
      <c r="K650" s="7"/>
      <c r="L650" s="8"/>
      <c r="M650" s="8"/>
      <c r="N650" s="7"/>
      <c r="O650" s="7"/>
      <c r="P650" s="7" t="s">
        <v>87</v>
      </c>
      <c r="Q650" s="9">
        <v>46196</v>
      </c>
      <c r="R650" s="7" t="s">
        <v>290</v>
      </c>
      <c r="S650" s="10" t="s">
        <v>2759</v>
      </c>
    </row>
    <row r="651" spans="1:19" ht="27" x14ac:dyDescent="0.25">
      <c r="A651" s="17" t="s">
        <v>2760</v>
      </c>
      <c r="B651" s="7" t="s">
        <v>2761</v>
      </c>
      <c r="C651" s="7" t="s">
        <v>701</v>
      </c>
      <c r="D651" s="7"/>
      <c r="E651" s="7"/>
      <c r="F651" s="7" t="s">
        <v>289</v>
      </c>
      <c r="G651" s="7" t="s">
        <v>289</v>
      </c>
      <c r="H651" s="8"/>
      <c r="I651" s="7"/>
      <c r="J651" s="7"/>
      <c r="K651" s="7"/>
      <c r="L651" s="8"/>
      <c r="M651" s="8"/>
      <c r="N651" s="7"/>
      <c r="O651" s="7"/>
      <c r="P651" s="7" t="s">
        <v>87</v>
      </c>
      <c r="Q651" s="9">
        <v>46192</v>
      </c>
      <c r="R651" s="7" t="s">
        <v>290</v>
      </c>
      <c r="S651" s="10" t="s">
        <v>2762</v>
      </c>
    </row>
    <row r="652" spans="1:19" ht="27" x14ac:dyDescent="0.25">
      <c r="A652" s="17" t="s">
        <v>2763</v>
      </c>
      <c r="B652" s="7" t="s">
        <v>2764</v>
      </c>
      <c r="C652" s="7" t="s">
        <v>701</v>
      </c>
      <c r="D652" s="7"/>
      <c r="E652" s="7"/>
      <c r="F652" s="7" t="s">
        <v>289</v>
      </c>
      <c r="G652" s="7" t="s">
        <v>289</v>
      </c>
      <c r="H652" s="8"/>
      <c r="I652" s="7"/>
      <c r="J652" s="7"/>
      <c r="K652" s="7"/>
      <c r="L652" s="8"/>
      <c r="M652" s="8"/>
      <c r="N652" s="7"/>
      <c r="O652" s="7"/>
      <c r="P652" s="7" t="s">
        <v>87</v>
      </c>
      <c r="Q652" s="9">
        <v>46196</v>
      </c>
      <c r="R652" s="7" t="s">
        <v>290</v>
      </c>
      <c r="S652" s="10" t="s">
        <v>2765</v>
      </c>
    </row>
    <row r="653" spans="1:19" ht="27" x14ac:dyDescent="0.25">
      <c r="A653" s="17" t="s">
        <v>2766</v>
      </c>
      <c r="B653" s="7" t="s">
        <v>2767</v>
      </c>
      <c r="C653" s="7" t="s">
        <v>701</v>
      </c>
      <c r="D653" s="7"/>
      <c r="E653" s="7"/>
      <c r="F653" s="7" t="s">
        <v>289</v>
      </c>
      <c r="G653" s="7" t="s">
        <v>289</v>
      </c>
      <c r="H653" s="8"/>
      <c r="I653" s="7"/>
      <c r="J653" s="7"/>
      <c r="K653" s="7"/>
      <c r="L653" s="8"/>
      <c r="M653" s="8"/>
      <c r="N653" s="7"/>
      <c r="O653" s="7"/>
      <c r="P653" s="7" t="s">
        <v>87</v>
      </c>
      <c r="Q653" s="9">
        <v>46196</v>
      </c>
      <c r="R653" s="7" t="s">
        <v>290</v>
      </c>
      <c r="S653" s="10" t="s">
        <v>2768</v>
      </c>
    </row>
    <row r="654" spans="1:19" ht="27" x14ac:dyDescent="0.25">
      <c r="A654" s="17" t="s">
        <v>2769</v>
      </c>
      <c r="B654" s="7" t="s">
        <v>2770</v>
      </c>
      <c r="C654" s="7" t="s">
        <v>701</v>
      </c>
      <c r="D654" s="7"/>
      <c r="E654" s="7"/>
      <c r="F654" s="7" t="s">
        <v>289</v>
      </c>
      <c r="G654" s="7" t="s">
        <v>289</v>
      </c>
      <c r="H654" s="8"/>
      <c r="I654" s="7"/>
      <c r="J654" s="7"/>
      <c r="K654" s="7"/>
      <c r="L654" s="8"/>
      <c r="M654" s="8"/>
      <c r="N654" s="7"/>
      <c r="O654" s="7"/>
      <c r="P654" s="7" t="s">
        <v>87</v>
      </c>
      <c r="Q654" s="9">
        <v>46196</v>
      </c>
      <c r="R654" s="7" t="s">
        <v>290</v>
      </c>
      <c r="S654" s="10" t="s">
        <v>2771</v>
      </c>
    </row>
    <row r="655" spans="1:19" ht="27" x14ac:dyDescent="0.25">
      <c r="A655" s="17" t="s">
        <v>2772</v>
      </c>
      <c r="B655" s="7" t="s">
        <v>2773</v>
      </c>
      <c r="C655" s="7" t="s">
        <v>701</v>
      </c>
      <c r="D655" s="7"/>
      <c r="E655" s="7"/>
      <c r="F655" s="7" t="s">
        <v>289</v>
      </c>
      <c r="G655" s="7" t="s">
        <v>289</v>
      </c>
      <c r="H655" s="8"/>
      <c r="I655" s="7"/>
      <c r="J655" s="7"/>
      <c r="K655" s="7"/>
      <c r="L655" s="8"/>
      <c r="M655" s="8"/>
      <c r="N655" s="7"/>
      <c r="O655" s="7"/>
      <c r="P655" s="7" t="s">
        <v>87</v>
      </c>
      <c r="Q655" s="9">
        <v>46196</v>
      </c>
      <c r="R655" s="7" t="s">
        <v>290</v>
      </c>
      <c r="S655" s="10" t="s">
        <v>2774</v>
      </c>
    </row>
    <row r="656" spans="1:19" ht="27" x14ac:dyDescent="0.25">
      <c r="A656" s="17" t="s">
        <v>2775</v>
      </c>
      <c r="B656" s="7" t="s">
        <v>2776</v>
      </c>
      <c r="C656" s="7" t="s">
        <v>701</v>
      </c>
      <c r="D656" s="7"/>
      <c r="E656" s="7"/>
      <c r="F656" s="7" t="s">
        <v>289</v>
      </c>
      <c r="G656" s="7" t="s">
        <v>289</v>
      </c>
      <c r="H656" s="8"/>
      <c r="I656" s="7"/>
      <c r="J656" s="7"/>
      <c r="K656" s="7"/>
      <c r="L656" s="8"/>
      <c r="M656" s="8"/>
      <c r="N656" s="7"/>
      <c r="O656" s="7"/>
      <c r="P656" s="7" t="s">
        <v>87</v>
      </c>
      <c r="Q656" s="9">
        <v>46196</v>
      </c>
      <c r="R656" s="7" t="s">
        <v>290</v>
      </c>
      <c r="S656" s="10" t="s">
        <v>2777</v>
      </c>
    </row>
    <row r="657" spans="1:19" ht="27" x14ac:dyDescent="0.25">
      <c r="A657" s="17" t="s">
        <v>2778</v>
      </c>
      <c r="B657" s="7" t="s">
        <v>2779</v>
      </c>
      <c r="C657" s="7" t="s">
        <v>701</v>
      </c>
      <c r="D657" s="7"/>
      <c r="E657" s="7"/>
      <c r="F657" s="7" t="s">
        <v>289</v>
      </c>
      <c r="G657" s="7" t="s">
        <v>289</v>
      </c>
      <c r="H657" s="8"/>
      <c r="I657" s="7"/>
      <c r="J657" s="7"/>
      <c r="K657" s="7"/>
      <c r="L657" s="8"/>
      <c r="M657" s="8"/>
      <c r="N657" s="7"/>
      <c r="O657" s="7"/>
      <c r="P657" s="7" t="s">
        <v>87</v>
      </c>
      <c r="Q657" s="9">
        <v>46196</v>
      </c>
      <c r="R657" s="7" t="s">
        <v>290</v>
      </c>
      <c r="S657" s="10" t="s">
        <v>2780</v>
      </c>
    </row>
    <row r="658" spans="1:19" ht="27" x14ac:dyDescent="0.25">
      <c r="A658" s="17" t="s">
        <v>2781</v>
      </c>
      <c r="B658" s="7" t="s">
        <v>2782</v>
      </c>
      <c r="C658" s="7" t="s">
        <v>701</v>
      </c>
      <c r="D658" s="7"/>
      <c r="E658" s="7"/>
      <c r="F658" s="7" t="s">
        <v>289</v>
      </c>
      <c r="G658" s="7" t="s">
        <v>289</v>
      </c>
      <c r="H658" s="8"/>
      <c r="I658" s="7"/>
      <c r="J658" s="7"/>
      <c r="K658" s="7"/>
      <c r="L658" s="8"/>
      <c r="M658" s="8"/>
      <c r="N658" s="7"/>
      <c r="O658" s="7"/>
      <c r="P658" s="7" t="s">
        <v>87</v>
      </c>
      <c r="Q658" s="9">
        <v>46196</v>
      </c>
      <c r="R658" s="7" t="s">
        <v>290</v>
      </c>
      <c r="S658" s="10" t="s">
        <v>2783</v>
      </c>
    </row>
    <row r="659" spans="1:19" ht="27" x14ac:dyDescent="0.25">
      <c r="A659" s="17" t="s">
        <v>2784</v>
      </c>
      <c r="B659" s="7" t="s">
        <v>2785</v>
      </c>
      <c r="C659" s="7" t="s">
        <v>701</v>
      </c>
      <c r="D659" s="7"/>
      <c r="E659" s="7"/>
      <c r="F659" s="7" t="s">
        <v>289</v>
      </c>
      <c r="G659" s="7" t="s">
        <v>289</v>
      </c>
      <c r="H659" s="8"/>
      <c r="I659" s="7"/>
      <c r="J659" s="7"/>
      <c r="K659" s="7"/>
      <c r="L659" s="8"/>
      <c r="M659" s="8"/>
      <c r="N659" s="7"/>
      <c r="O659" s="7"/>
      <c r="P659" s="7" t="s">
        <v>87</v>
      </c>
      <c r="Q659" s="9">
        <v>46196</v>
      </c>
      <c r="R659" s="7" t="s">
        <v>290</v>
      </c>
      <c r="S659" s="10" t="s">
        <v>2786</v>
      </c>
    </row>
    <row r="660" spans="1:19" ht="40.5" x14ac:dyDescent="0.25">
      <c r="A660" s="17" t="s">
        <v>2787</v>
      </c>
      <c r="B660" s="7" t="s">
        <v>2788</v>
      </c>
      <c r="C660" s="7" t="s">
        <v>288</v>
      </c>
      <c r="D660" s="7"/>
      <c r="E660" s="7"/>
      <c r="F660" s="7" t="s">
        <v>289</v>
      </c>
      <c r="G660" s="7" t="s">
        <v>289</v>
      </c>
      <c r="H660" s="8"/>
      <c r="I660" s="7"/>
      <c r="J660" s="7"/>
      <c r="K660" s="7"/>
      <c r="L660" s="8"/>
      <c r="M660" s="8"/>
      <c r="N660" s="7"/>
      <c r="O660" s="7"/>
      <c r="P660" s="7" t="s">
        <v>87</v>
      </c>
      <c r="Q660" s="9">
        <v>46143</v>
      </c>
      <c r="R660" s="7" t="s">
        <v>290</v>
      </c>
      <c r="S660" s="10" t="s">
        <v>2789</v>
      </c>
    </row>
    <row r="661" spans="1:19" ht="40.5" x14ac:dyDescent="0.25">
      <c r="A661" s="17" t="s">
        <v>2790</v>
      </c>
      <c r="B661" s="7" t="s">
        <v>2791</v>
      </c>
      <c r="C661" s="7" t="s">
        <v>596</v>
      </c>
      <c r="D661" s="7"/>
      <c r="E661" s="7"/>
      <c r="F661" s="7" t="s">
        <v>289</v>
      </c>
      <c r="G661" s="7" t="s">
        <v>289</v>
      </c>
      <c r="H661" s="8"/>
      <c r="I661" s="7"/>
      <c r="J661" s="7"/>
      <c r="K661" s="7"/>
      <c r="L661" s="8"/>
      <c r="M661" s="8"/>
      <c r="N661" s="7"/>
      <c r="O661" s="7"/>
      <c r="P661" s="7" t="s">
        <v>87</v>
      </c>
      <c r="Q661" s="9">
        <v>46214</v>
      </c>
      <c r="R661" s="7" t="s">
        <v>290</v>
      </c>
      <c r="S661" s="10" t="s">
        <v>2792</v>
      </c>
    </row>
    <row r="662" spans="1:19" ht="40.5" x14ac:dyDescent="0.25">
      <c r="A662" s="17" t="s">
        <v>2793</v>
      </c>
      <c r="B662" s="7" t="s">
        <v>2794</v>
      </c>
      <c r="C662" s="7" t="s">
        <v>288</v>
      </c>
      <c r="D662" s="7"/>
      <c r="E662" s="7"/>
      <c r="F662" s="7" t="s">
        <v>289</v>
      </c>
      <c r="G662" s="7" t="s">
        <v>289</v>
      </c>
      <c r="H662" s="8"/>
      <c r="I662" s="7"/>
      <c r="J662" s="7"/>
      <c r="K662" s="7"/>
      <c r="L662" s="8"/>
      <c r="M662" s="8"/>
      <c r="N662" s="7"/>
      <c r="O662" s="7"/>
      <c r="P662" s="7" t="s">
        <v>87</v>
      </c>
      <c r="Q662" s="9">
        <v>46221</v>
      </c>
      <c r="R662" s="7" t="s">
        <v>290</v>
      </c>
      <c r="S662" s="10" t="s">
        <v>2795</v>
      </c>
    </row>
    <row r="663" spans="1:19" ht="40.5" x14ac:dyDescent="0.25">
      <c r="A663" s="17" t="s">
        <v>2796</v>
      </c>
      <c r="B663" s="7" t="s">
        <v>2797</v>
      </c>
      <c r="C663" s="7" t="s">
        <v>604</v>
      </c>
      <c r="D663" s="7"/>
      <c r="E663" s="7"/>
      <c r="F663" s="7" t="s">
        <v>289</v>
      </c>
      <c r="G663" s="7" t="s">
        <v>289</v>
      </c>
      <c r="H663" s="8"/>
      <c r="I663" s="7"/>
      <c r="J663" s="7"/>
      <c r="K663" s="7"/>
      <c r="L663" s="8"/>
      <c r="M663" s="8"/>
      <c r="N663" s="7"/>
      <c r="O663" s="7"/>
      <c r="P663" s="7" t="s">
        <v>87</v>
      </c>
      <c r="Q663" s="9">
        <v>46192</v>
      </c>
      <c r="R663" s="7" t="s">
        <v>290</v>
      </c>
      <c r="S663" s="10" t="s">
        <v>2798</v>
      </c>
    </row>
    <row r="664" spans="1:19" ht="40.5" x14ac:dyDescent="0.25">
      <c r="A664" s="17" t="s">
        <v>2799</v>
      </c>
      <c r="B664" s="7" t="s">
        <v>2800</v>
      </c>
      <c r="C664" s="7" t="s">
        <v>604</v>
      </c>
      <c r="D664" s="7"/>
      <c r="E664" s="7"/>
      <c r="F664" s="7" t="s">
        <v>289</v>
      </c>
      <c r="G664" s="7" t="s">
        <v>289</v>
      </c>
      <c r="H664" s="8"/>
      <c r="I664" s="7"/>
      <c r="J664" s="7"/>
      <c r="K664" s="7"/>
      <c r="L664" s="8"/>
      <c r="M664" s="8"/>
      <c r="N664" s="7"/>
      <c r="O664" s="7"/>
      <c r="P664" s="7" t="s">
        <v>87</v>
      </c>
      <c r="Q664" s="9">
        <v>46192</v>
      </c>
      <c r="R664" s="7" t="s">
        <v>290</v>
      </c>
      <c r="S664" s="10" t="s">
        <v>2801</v>
      </c>
    </row>
    <row r="665" spans="1:19" ht="40.5" x14ac:dyDescent="0.25">
      <c r="A665" s="17" t="s">
        <v>2802</v>
      </c>
      <c r="B665" s="7" t="s">
        <v>2803</v>
      </c>
      <c r="C665" s="7" t="s">
        <v>604</v>
      </c>
      <c r="D665" s="7"/>
      <c r="E665" s="7"/>
      <c r="F665" s="7" t="s">
        <v>289</v>
      </c>
      <c r="G665" s="7" t="s">
        <v>289</v>
      </c>
      <c r="H665" s="8"/>
      <c r="I665" s="7"/>
      <c r="J665" s="7"/>
      <c r="K665" s="7"/>
      <c r="L665" s="8"/>
      <c r="M665" s="8"/>
      <c r="N665" s="7"/>
      <c r="O665" s="7"/>
      <c r="P665" s="7" t="s">
        <v>87</v>
      </c>
      <c r="Q665" s="9">
        <v>46192</v>
      </c>
      <c r="R665" s="7" t="s">
        <v>290</v>
      </c>
      <c r="S665" s="10" t="s">
        <v>2804</v>
      </c>
    </row>
    <row r="666" spans="1:19" ht="27" x14ac:dyDescent="0.25">
      <c r="A666" s="17" t="s">
        <v>2805</v>
      </c>
      <c r="B666" s="7" t="s">
        <v>2806</v>
      </c>
      <c r="C666" s="7" t="s">
        <v>692</v>
      </c>
      <c r="D666" s="7"/>
      <c r="E666" s="7"/>
      <c r="F666" s="7" t="s">
        <v>289</v>
      </c>
      <c r="G666" s="7" t="s">
        <v>289</v>
      </c>
      <c r="H666" s="8"/>
      <c r="I666" s="7"/>
      <c r="J666" s="7"/>
      <c r="K666" s="7"/>
      <c r="L666" s="8"/>
      <c r="M666" s="8"/>
      <c r="N666" s="7"/>
      <c r="O666" s="7"/>
      <c r="P666" s="7" t="s">
        <v>87</v>
      </c>
      <c r="Q666" s="9">
        <v>46165</v>
      </c>
      <c r="R666" s="7" t="s">
        <v>290</v>
      </c>
      <c r="S666" s="10" t="s">
        <v>2807</v>
      </c>
    </row>
    <row r="667" spans="1:19" ht="40.5" x14ac:dyDescent="0.25">
      <c r="A667" s="17" t="s">
        <v>2808</v>
      </c>
      <c r="B667" s="7" t="s">
        <v>2809</v>
      </c>
      <c r="C667" s="7" t="s">
        <v>2810</v>
      </c>
      <c r="D667" s="7"/>
      <c r="E667" s="7"/>
      <c r="F667" s="7" t="s">
        <v>25</v>
      </c>
      <c r="G667" s="7" t="s">
        <v>25</v>
      </c>
      <c r="H667" s="8"/>
      <c r="I667" s="7"/>
      <c r="J667" s="7"/>
      <c r="K667" s="7"/>
      <c r="L667" s="8"/>
      <c r="M667" s="8"/>
      <c r="N667" s="7"/>
      <c r="O667" s="7"/>
      <c r="P667" s="7" t="s">
        <v>87</v>
      </c>
      <c r="Q667" s="9">
        <v>46097</v>
      </c>
      <c r="R667" s="7" t="s">
        <v>290</v>
      </c>
      <c r="S667" s="10" t="s">
        <v>2811</v>
      </c>
    </row>
    <row r="668" spans="1:19" ht="81" x14ac:dyDescent="0.25">
      <c r="A668" s="17" t="s">
        <v>2812</v>
      </c>
      <c r="B668" s="7" t="s">
        <v>2813</v>
      </c>
      <c r="C668" s="7" t="s">
        <v>388</v>
      </c>
      <c r="D668" s="7" t="s">
        <v>2814</v>
      </c>
      <c r="E668" s="7" t="s">
        <v>1686</v>
      </c>
      <c r="F668" s="7" t="s">
        <v>25</v>
      </c>
      <c r="G668" s="7" t="s">
        <v>25</v>
      </c>
      <c r="H668" s="8">
        <v>1000</v>
      </c>
      <c r="I668" s="7"/>
      <c r="J668" s="7"/>
      <c r="K668" s="7"/>
      <c r="L668" s="8"/>
      <c r="M668" s="8"/>
      <c r="N668" s="7"/>
      <c r="O668" s="7"/>
      <c r="P668" s="7" t="s">
        <v>87</v>
      </c>
      <c r="Q668" s="9">
        <v>46097</v>
      </c>
      <c r="R668" s="7" t="s">
        <v>290</v>
      </c>
      <c r="S668" s="10" t="s">
        <v>2815</v>
      </c>
    </row>
    <row r="669" spans="1:19" ht="81" x14ac:dyDescent="0.25">
      <c r="A669" s="17" t="s">
        <v>2816</v>
      </c>
      <c r="B669" s="7" t="s">
        <v>2817</v>
      </c>
      <c r="C669" s="7" t="s">
        <v>327</v>
      </c>
      <c r="D669" s="7" t="s">
        <v>2818</v>
      </c>
      <c r="E669" s="7" t="s">
        <v>2819</v>
      </c>
      <c r="F669" s="7" t="s">
        <v>25</v>
      </c>
      <c r="G669" s="7" t="s">
        <v>25</v>
      </c>
      <c r="H669" s="8">
        <v>4000</v>
      </c>
      <c r="I669" s="7"/>
      <c r="J669" s="7"/>
      <c r="K669" s="7"/>
      <c r="L669" s="8"/>
      <c r="M669" s="8"/>
      <c r="N669" s="7"/>
      <c r="O669" s="7"/>
      <c r="P669" s="7" t="s">
        <v>87</v>
      </c>
      <c r="Q669" s="9">
        <v>46073</v>
      </c>
      <c r="R669" s="7" t="s">
        <v>290</v>
      </c>
      <c r="S669" s="10" t="s">
        <v>2820</v>
      </c>
    </row>
    <row r="670" spans="1:19" ht="40.5" x14ac:dyDescent="0.25">
      <c r="A670" s="17" t="s">
        <v>2821</v>
      </c>
      <c r="B670" s="7" t="s">
        <v>2822</v>
      </c>
      <c r="C670" s="7" t="s">
        <v>2213</v>
      </c>
      <c r="D670" s="7"/>
      <c r="E670" s="7"/>
      <c r="F670" s="7" t="s">
        <v>289</v>
      </c>
      <c r="G670" s="7" t="s">
        <v>289</v>
      </c>
      <c r="H670" s="8"/>
      <c r="I670" s="7"/>
      <c r="J670" s="7"/>
      <c r="K670" s="7"/>
      <c r="L670" s="8"/>
      <c r="M670" s="8"/>
      <c r="N670" s="7"/>
      <c r="O670" s="7"/>
      <c r="P670" s="7" t="s">
        <v>87</v>
      </c>
      <c r="Q670" s="9">
        <v>46097</v>
      </c>
      <c r="R670" s="7" t="s">
        <v>290</v>
      </c>
      <c r="S670" s="10" t="s">
        <v>2823</v>
      </c>
    </row>
    <row r="671" spans="1:19" ht="40.5" x14ac:dyDescent="0.25">
      <c r="A671" s="17" t="s">
        <v>2824</v>
      </c>
      <c r="B671" s="7" t="s">
        <v>2825</v>
      </c>
      <c r="C671" s="7" t="s">
        <v>1236</v>
      </c>
      <c r="D671" s="7"/>
      <c r="E671" s="7"/>
      <c r="F671" s="7" t="s">
        <v>289</v>
      </c>
      <c r="G671" s="7" t="s">
        <v>289</v>
      </c>
      <c r="H671" s="8"/>
      <c r="I671" s="7"/>
      <c r="J671" s="7"/>
      <c r="K671" s="7"/>
      <c r="L671" s="8"/>
      <c r="M671" s="8"/>
      <c r="N671" s="7"/>
      <c r="O671" s="7"/>
      <c r="P671" s="7" t="s">
        <v>87</v>
      </c>
      <c r="Q671" s="9">
        <v>46097</v>
      </c>
      <c r="R671" s="7" t="s">
        <v>290</v>
      </c>
      <c r="S671" s="10" t="s">
        <v>2826</v>
      </c>
    </row>
    <row r="672" spans="1:19" ht="40.5" x14ac:dyDescent="0.25">
      <c r="A672" s="17" t="s">
        <v>2827</v>
      </c>
      <c r="B672" s="7" t="s">
        <v>2828</v>
      </c>
      <c r="C672" s="7" t="s">
        <v>1236</v>
      </c>
      <c r="D672" s="7"/>
      <c r="E672" s="7"/>
      <c r="F672" s="7" t="s">
        <v>289</v>
      </c>
      <c r="G672" s="7" t="s">
        <v>289</v>
      </c>
      <c r="H672" s="8"/>
      <c r="I672" s="7"/>
      <c r="J672" s="7"/>
      <c r="K672" s="7"/>
      <c r="L672" s="8"/>
      <c r="M672" s="8"/>
      <c r="N672" s="7"/>
      <c r="O672" s="7"/>
      <c r="P672" s="7" t="s">
        <v>87</v>
      </c>
      <c r="Q672" s="9">
        <v>46097</v>
      </c>
      <c r="R672" s="7" t="s">
        <v>290</v>
      </c>
      <c r="S672" s="10" t="s">
        <v>2829</v>
      </c>
    </row>
    <row r="673" spans="1:19" ht="40.5" x14ac:dyDescent="0.25">
      <c r="A673" s="17" t="s">
        <v>2830</v>
      </c>
      <c r="B673" s="7" t="s">
        <v>2831</v>
      </c>
      <c r="C673" s="7" t="s">
        <v>1236</v>
      </c>
      <c r="D673" s="7"/>
      <c r="E673" s="7"/>
      <c r="F673" s="7" t="s">
        <v>289</v>
      </c>
      <c r="G673" s="7" t="s">
        <v>289</v>
      </c>
      <c r="H673" s="8"/>
      <c r="I673" s="7"/>
      <c r="J673" s="7"/>
      <c r="K673" s="7"/>
      <c r="L673" s="8"/>
      <c r="M673" s="8"/>
      <c r="N673" s="7"/>
      <c r="O673" s="7"/>
      <c r="P673" s="7" t="s">
        <v>87</v>
      </c>
      <c r="Q673" s="9">
        <v>46097</v>
      </c>
      <c r="R673" s="7" t="s">
        <v>290</v>
      </c>
      <c r="S673" s="10" t="s">
        <v>2832</v>
      </c>
    </row>
    <row r="674" spans="1:19" ht="67.5" x14ac:dyDescent="0.25">
      <c r="A674" s="17" t="s">
        <v>2833</v>
      </c>
      <c r="B674" s="7" t="s">
        <v>2834</v>
      </c>
      <c r="C674" s="7" t="s">
        <v>1480</v>
      </c>
      <c r="D674" s="7" t="s">
        <v>2835</v>
      </c>
      <c r="E674" s="7" t="s">
        <v>439</v>
      </c>
      <c r="F674" s="7" t="s">
        <v>289</v>
      </c>
      <c r="G674" s="7" t="s">
        <v>289</v>
      </c>
      <c r="H674" s="8">
        <v>1</v>
      </c>
      <c r="I674" s="7"/>
      <c r="J674" s="7"/>
      <c r="K674" s="7"/>
      <c r="L674" s="8"/>
      <c r="M674" s="8"/>
      <c r="N674" s="7"/>
      <c r="O674" s="7"/>
      <c r="P674" s="7" t="s">
        <v>87</v>
      </c>
      <c r="Q674" s="9">
        <v>46097</v>
      </c>
      <c r="R674" s="7" t="s">
        <v>290</v>
      </c>
      <c r="S674" s="10" t="s">
        <v>2836</v>
      </c>
    </row>
    <row r="675" spans="1:19" ht="40.5" x14ac:dyDescent="0.25">
      <c r="A675" s="17" t="s">
        <v>2837</v>
      </c>
      <c r="B675" s="7" t="s">
        <v>2838</v>
      </c>
      <c r="C675" s="7" t="s">
        <v>1480</v>
      </c>
      <c r="D675" s="7"/>
      <c r="E675" s="7"/>
      <c r="F675" s="7" t="s">
        <v>289</v>
      </c>
      <c r="G675" s="7" t="s">
        <v>289</v>
      </c>
      <c r="H675" s="8"/>
      <c r="I675" s="7"/>
      <c r="J675" s="7"/>
      <c r="K675" s="7"/>
      <c r="L675" s="8"/>
      <c r="M675" s="8"/>
      <c r="N675" s="7"/>
      <c r="O675" s="7"/>
      <c r="P675" s="7" t="s">
        <v>87</v>
      </c>
      <c r="Q675" s="9">
        <v>46097</v>
      </c>
      <c r="R675" s="7" t="s">
        <v>290</v>
      </c>
      <c r="S675" s="10" t="s">
        <v>2839</v>
      </c>
    </row>
    <row r="676" spans="1:19" ht="40.5" x14ac:dyDescent="0.25">
      <c r="A676" s="17" t="s">
        <v>2840</v>
      </c>
      <c r="B676" s="7" t="s">
        <v>2841</v>
      </c>
      <c r="C676" s="7" t="s">
        <v>1480</v>
      </c>
      <c r="D676" s="7"/>
      <c r="E676" s="7"/>
      <c r="F676" s="7" t="s">
        <v>289</v>
      </c>
      <c r="G676" s="7" t="s">
        <v>289</v>
      </c>
      <c r="H676" s="8"/>
      <c r="I676" s="7"/>
      <c r="J676" s="7"/>
      <c r="K676" s="7"/>
      <c r="L676" s="8"/>
      <c r="M676" s="8"/>
      <c r="N676" s="7"/>
      <c r="O676" s="7"/>
      <c r="P676" s="7" t="s">
        <v>87</v>
      </c>
      <c r="Q676" s="9">
        <v>46097</v>
      </c>
      <c r="R676" s="7" t="s">
        <v>290</v>
      </c>
      <c r="S676" s="10" t="s">
        <v>2842</v>
      </c>
    </row>
    <row r="677" spans="1:19" ht="40.5" x14ac:dyDescent="0.25">
      <c r="A677" s="17" t="s">
        <v>2843</v>
      </c>
      <c r="B677" s="7" t="s">
        <v>2844</v>
      </c>
      <c r="C677" s="7" t="s">
        <v>2845</v>
      </c>
      <c r="D677" s="7"/>
      <c r="E677" s="7"/>
      <c r="F677" s="7" t="s">
        <v>289</v>
      </c>
      <c r="G677" s="7" t="s">
        <v>289</v>
      </c>
      <c r="H677" s="8"/>
      <c r="I677" s="7"/>
      <c r="J677" s="7"/>
      <c r="K677" s="7"/>
      <c r="L677" s="8"/>
      <c r="M677" s="8"/>
      <c r="N677" s="7"/>
      <c r="O677" s="7"/>
      <c r="P677" s="7" t="s">
        <v>87</v>
      </c>
      <c r="Q677" s="9">
        <v>46097</v>
      </c>
      <c r="R677" s="7" t="s">
        <v>290</v>
      </c>
      <c r="S677" s="10" t="s">
        <v>2846</v>
      </c>
    </row>
    <row r="678" spans="1:19" ht="40.5" x14ac:dyDescent="0.25">
      <c r="A678" s="17" t="s">
        <v>2847</v>
      </c>
      <c r="B678" s="7" t="s">
        <v>2848</v>
      </c>
      <c r="C678" s="7" t="s">
        <v>1480</v>
      </c>
      <c r="D678" s="7"/>
      <c r="E678" s="7"/>
      <c r="F678" s="7" t="s">
        <v>289</v>
      </c>
      <c r="G678" s="7" t="s">
        <v>289</v>
      </c>
      <c r="H678" s="8"/>
      <c r="I678" s="7"/>
      <c r="J678" s="7"/>
      <c r="K678" s="7"/>
      <c r="L678" s="8"/>
      <c r="M678" s="8"/>
      <c r="N678" s="7"/>
      <c r="O678" s="7"/>
      <c r="P678" s="7" t="s">
        <v>87</v>
      </c>
      <c r="Q678" s="9">
        <v>46097</v>
      </c>
      <c r="R678" s="7" t="s">
        <v>290</v>
      </c>
      <c r="S678" s="10" t="s">
        <v>2849</v>
      </c>
    </row>
    <row r="679" spans="1:19" ht="40.5" x14ac:dyDescent="0.25">
      <c r="A679" s="58" t="s">
        <v>2850</v>
      </c>
      <c r="B679" s="7" t="s">
        <v>2851</v>
      </c>
      <c r="C679" s="7" t="s">
        <v>1236</v>
      </c>
      <c r="D679" s="7"/>
      <c r="E679" s="7"/>
      <c r="F679" s="7" t="s">
        <v>289</v>
      </c>
      <c r="G679" s="7" t="s">
        <v>289</v>
      </c>
      <c r="H679" s="8"/>
      <c r="I679" s="7"/>
      <c r="J679" s="7"/>
      <c r="K679" s="7"/>
      <c r="L679" s="8"/>
      <c r="M679" s="8"/>
      <c r="N679" s="7"/>
      <c r="O679" s="7"/>
      <c r="P679" s="7" t="s">
        <v>87</v>
      </c>
      <c r="Q679" s="9">
        <v>46097</v>
      </c>
      <c r="R679" s="7" t="s">
        <v>290</v>
      </c>
      <c r="S679" s="10" t="s">
        <v>2852</v>
      </c>
    </row>
    <row r="680" spans="1:19" ht="40.5" x14ac:dyDescent="0.25">
      <c r="A680" s="17" t="s">
        <v>2853</v>
      </c>
      <c r="B680" s="7" t="s">
        <v>2854</v>
      </c>
      <c r="C680" s="7" t="s">
        <v>1111</v>
      </c>
      <c r="D680" s="7"/>
      <c r="E680" s="7"/>
      <c r="F680" s="7" t="s">
        <v>289</v>
      </c>
      <c r="G680" s="7" t="s">
        <v>289</v>
      </c>
      <c r="H680" s="8"/>
      <c r="I680" s="7"/>
      <c r="J680" s="7"/>
      <c r="K680" s="7"/>
      <c r="L680" s="8"/>
      <c r="M680" s="8"/>
      <c r="N680" s="7"/>
      <c r="O680" s="7"/>
      <c r="P680" s="7" t="s">
        <v>87</v>
      </c>
      <c r="Q680" s="9">
        <v>46097</v>
      </c>
      <c r="R680" s="7" t="s">
        <v>290</v>
      </c>
      <c r="S680" s="10" t="s">
        <v>2855</v>
      </c>
    </row>
    <row r="681" spans="1:19" ht="40.5" x14ac:dyDescent="0.25">
      <c r="A681" s="17" t="s">
        <v>2856</v>
      </c>
      <c r="B681" s="7" t="s">
        <v>2857</v>
      </c>
      <c r="C681" s="7" t="s">
        <v>1236</v>
      </c>
      <c r="D681" s="7"/>
      <c r="E681" s="7"/>
      <c r="F681" s="7" t="s">
        <v>289</v>
      </c>
      <c r="G681" s="7" t="s">
        <v>289</v>
      </c>
      <c r="H681" s="8"/>
      <c r="I681" s="7"/>
      <c r="J681" s="7"/>
      <c r="K681" s="7"/>
      <c r="L681" s="8"/>
      <c r="M681" s="8"/>
      <c r="N681" s="7"/>
      <c r="O681" s="7"/>
      <c r="P681" s="7" t="s">
        <v>87</v>
      </c>
      <c r="Q681" s="9">
        <v>46097</v>
      </c>
      <c r="R681" s="7" t="s">
        <v>290</v>
      </c>
      <c r="S681" s="10" t="s">
        <v>2858</v>
      </c>
    </row>
    <row r="682" spans="1:19" ht="40.5" x14ac:dyDescent="0.25">
      <c r="A682" s="17" t="s">
        <v>2859</v>
      </c>
      <c r="B682" s="7" t="s">
        <v>2860</v>
      </c>
      <c r="C682" s="7" t="s">
        <v>1236</v>
      </c>
      <c r="D682" s="7"/>
      <c r="E682" s="7"/>
      <c r="F682" s="7" t="s">
        <v>289</v>
      </c>
      <c r="G682" s="7" t="s">
        <v>289</v>
      </c>
      <c r="H682" s="8"/>
      <c r="I682" s="7"/>
      <c r="J682" s="7"/>
      <c r="K682" s="7"/>
      <c r="L682" s="8"/>
      <c r="M682" s="8"/>
      <c r="N682" s="7"/>
      <c r="O682" s="7"/>
      <c r="P682" s="7" t="s">
        <v>87</v>
      </c>
      <c r="Q682" s="9">
        <v>46091</v>
      </c>
      <c r="R682" s="7" t="s">
        <v>290</v>
      </c>
      <c r="S682" s="10" t="s">
        <v>2861</v>
      </c>
    </row>
    <row r="683" spans="1:19" ht="40.5" x14ac:dyDescent="0.25">
      <c r="A683" s="17" t="s">
        <v>2862</v>
      </c>
      <c r="B683" s="7" t="s">
        <v>2863</v>
      </c>
      <c r="C683" s="7" t="s">
        <v>1236</v>
      </c>
      <c r="D683" s="7"/>
      <c r="E683" s="7"/>
      <c r="F683" s="7" t="s">
        <v>289</v>
      </c>
      <c r="G683" s="7" t="s">
        <v>289</v>
      </c>
      <c r="H683" s="8"/>
      <c r="I683" s="7"/>
      <c r="J683" s="7"/>
      <c r="K683" s="7"/>
      <c r="L683" s="8"/>
      <c r="M683" s="8"/>
      <c r="N683" s="7"/>
      <c r="O683" s="7"/>
      <c r="P683" s="7" t="s">
        <v>87</v>
      </c>
      <c r="Q683" s="9">
        <v>46097</v>
      </c>
      <c r="R683" s="7" t="s">
        <v>290</v>
      </c>
      <c r="S683" s="10" t="s">
        <v>2864</v>
      </c>
    </row>
    <row r="684" spans="1:19" ht="67.5" x14ac:dyDescent="0.25">
      <c r="A684" s="17" t="s">
        <v>2865</v>
      </c>
      <c r="B684" s="7" t="s">
        <v>2866</v>
      </c>
      <c r="C684" s="7" t="s">
        <v>1236</v>
      </c>
      <c r="D684" s="7" t="s">
        <v>2867</v>
      </c>
      <c r="E684" s="7" t="s">
        <v>2677</v>
      </c>
      <c r="F684" s="7" t="s">
        <v>289</v>
      </c>
      <c r="G684" s="7" t="s">
        <v>289</v>
      </c>
      <c r="H684" s="8">
        <v>1</v>
      </c>
      <c r="I684" s="7"/>
      <c r="J684" s="7"/>
      <c r="K684" s="7"/>
      <c r="L684" s="8"/>
      <c r="M684" s="8"/>
      <c r="N684" s="7"/>
      <c r="O684" s="7"/>
      <c r="P684" s="7" t="s">
        <v>87</v>
      </c>
      <c r="Q684" s="9">
        <v>46091</v>
      </c>
      <c r="R684" s="7" t="s">
        <v>290</v>
      </c>
      <c r="S684" s="10" t="s">
        <v>2868</v>
      </c>
    </row>
    <row r="685" spans="1:19" ht="40.5" x14ac:dyDescent="0.25">
      <c r="A685" s="17" t="s">
        <v>2869</v>
      </c>
      <c r="B685" s="7" t="s">
        <v>2870</v>
      </c>
      <c r="C685" s="7" t="s">
        <v>655</v>
      </c>
      <c r="D685" s="7"/>
      <c r="E685" s="7"/>
      <c r="F685" s="7" t="s">
        <v>25</v>
      </c>
      <c r="G685" s="7" t="s">
        <v>25</v>
      </c>
      <c r="H685" s="8"/>
      <c r="I685" s="7"/>
      <c r="J685" s="7"/>
      <c r="K685" s="7"/>
      <c r="L685" s="8"/>
      <c r="M685" s="8"/>
      <c r="N685" s="7"/>
      <c r="O685" s="7"/>
      <c r="P685" s="7" t="s">
        <v>87</v>
      </c>
      <c r="Q685" s="9">
        <v>46097</v>
      </c>
      <c r="R685" s="7" t="s">
        <v>290</v>
      </c>
      <c r="S685" s="10" t="s">
        <v>2871</v>
      </c>
    </row>
    <row r="686" spans="1:19" ht="40.5" x14ac:dyDescent="0.25">
      <c r="A686" s="17" t="s">
        <v>2872</v>
      </c>
      <c r="B686" s="7" t="s">
        <v>2873</v>
      </c>
      <c r="C686" s="7" t="s">
        <v>2874</v>
      </c>
      <c r="D686" s="7"/>
      <c r="E686" s="7"/>
      <c r="F686" s="7" t="s">
        <v>289</v>
      </c>
      <c r="G686" s="7" t="s">
        <v>289</v>
      </c>
      <c r="H686" s="8"/>
      <c r="I686" s="7"/>
      <c r="J686" s="7"/>
      <c r="K686" s="7"/>
      <c r="L686" s="8"/>
      <c r="M686" s="8"/>
      <c r="N686" s="7"/>
      <c r="O686" s="7"/>
      <c r="P686" s="7" t="s">
        <v>87</v>
      </c>
      <c r="Q686" s="9">
        <v>46097</v>
      </c>
      <c r="R686" s="7" t="s">
        <v>290</v>
      </c>
      <c r="S686" s="10" t="s">
        <v>2875</v>
      </c>
    </row>
    <row r="687" spans="1:19" ht="40.5" x14ac:dyDescent="0.25">
      <c r="A687" s="17" t="s">
        <v>2876</v>
      </c>
      <c r="B687" s="7" t="s">
        <v>2877</v>
      </c>
      <c r="C687" s="7" t="s">
        <v>2874</v>
      </c>
      <c r="D687" s="7"/>
      <c r="E687" s="7"/>
      <c r="F687" s="7" t="s">
        <v>289</v>
      </c>
      <c r="G687" s="7" t="s">
        <v>289</v>
      </c>
      <c r="H687" s="8"/>
      <c r="I687" s="7"/>
      <c r="J687" s="7"/>
      <c r="K687" s="7"/>
      <c r="L687" s="8"/>
      <c r="M687" s="8"/>
      <c r="N687" s="7"/>
      <c r="O687" s="7"/>
      <c r="P687" s="7" t="s">
        <v>87</v>
      </c>
      <c r="Q687" s="9">
        <v>46097</v>
      </c>
      <c r="R687" s="7" t="s">
        <v>290</v>
      </c>
      <c r="S687" s="10" t="s">
        <v>2878</v>
      </c>
    </row>
    <row r="688" spans="1:19" ht="40.5" x14ac:dyDescent="0.25">
      <c r="A688" s="58" t="s">
        <v>2879</v>
      </c>
      <c r="B688" s="7" t="s">
        <v>2880</v>
      </c>
      <c r="C688" s="7" t="s">
        <v>288</v>
      </c>
      <c r="D688" s="7"/>
      <c r="E688" s="7"/>
      <c r="F688" s="7" t="s">
        <v>289</v>
      </c>
      <c r="G688" s="7" t="s">
        <v>289</v>
      </c>
      <c r="H688" s="8"/>
      <c r="I688" s="7"/>
      <c r="J688" s="7"/>
      <c r="K688" s="7"/>
      <c r="L688" s="8"/>
      <c r="M688" s="8"/>
      <c r="N688" s="7"/>
      <c r="O688" s="7"/>
      <c r="P688" s="7" t="s">
        <v>87</v>
      </c>
      <c r="Q688" s="9">
        <v>46143</v>
      </c>
      <c r="R688" s="7" t="s">
        <v>290</v>
      </c>
      <c r="S688" s="10" t="s">
        <v>2881</v>
      </c>
    </row>
    <row r="689" spans="1:19" ht="81" x14ac:dyDescent="0.25">
      <c r="A689" s="17" t="s">
        <v>2882</v>
      </c>
      <c r="B689" s="7" t="s">
        <v>2883</v>
      </c>
      <c r="C689" s="7" t="s">
        <v>2468</v>
      </c>
      <c r="D689" s="7" t="s">
        <v>2884</v>
      </c>
      <c r="E689" s="7" t="s">
        <v>592</v>
      </c>
      <c r="F689" s="7" t="s">
        <v>289</v>
      </c>
      <c r="G689" s="7" t="s">
        <v>289</v>
      </c>
      <c r="H689" s="8">
        <v>50</v>
      </c>
      <c r="I689" s="7"/>
      <c r="J689" s="7"/>
      <c r="K689" s="7"/>
      <c r="L689" s="8"/>
      <c r="M689" s="8"/>
      <c r="N689" s="7"/>
      <c r="O689" s="7"/>
      <c r="P689" s="7" t="s">
        <v>87</v>
      </c>
      <c r="Q689" s="9">
        <v>46210</v>
      </c>
      <c r="R689" s="7" t="s">
        <v>290</v>
      </c>
      <c r="S689" s="10" t="s">
        <v>2885</v>
      </c>
    </row>
    <row r="690" spans="1:19" ht="81" x14ac:dyDescent="0.25">
      <c r="A690" s="17" t="s">
        <v>2886</v>
      </c>
      <c r="B690" s="7" t="s">
        <v>2887</v>
      </c>
      <c r="C690" s="7" t="s">
        <v>2312</v>
      </c>
      <c r="D690" s="7" t="s">
        <v>2888</v>
      </c>
      <c r="E690" s="7" t="s">
        <v>612</v>
      </c>
      <c r="F690" s="7" t="s">
        <v>289</v>
      </c>
      <c r="G690" s="7" t="s">
        <v>289</v>
      </c>
      <c r="H690" s="8">
        <v>100</v>
      </c>
      <c r="I690" s="7"/>
      <c r="J690" s="7"/>
      <c r="K690" s="7"/>
      <c r="L690" s="8"/>
      <c r="M690" s="8"/>
      <c r="N690" s="7"/>
      <c r="O690" s="7"/>
      <c r="P690" s="7" t="s">
        <v>87</v>
      </c>
      <c r="Q690" s="9">
        <v>46094</v>
      </c>
      <c r="R690" s="7" t="s">
        <v>290</v>
      </c>
      <c r="S690" s="10" t="s">
        <v>2889</v>
      </c>
    </row>
    <row r="691" spans="1:19" ht="81" x14ac:dyDescent="0.25">
      <c r="A691" s="17" t="s">
        <v>2890</v>
      </c>
      <c r="B691" s="7" t="s">
        <v>2891</v>
      </c>
      <c r="C691" s="7" t="s">
        <v>2312</v>
      </c>
      <c r="D691" s="7" t="s">
        <v>2892</v>
      </c>
      <c r="E691" s="7" t="s">
        <v>2893</v>
      </c>
      <c r="F691" s="7" t="s">
        <v>289</v>
      </c>
      <c r="G691" s="7" t="s">
        <v>289</v>
      </c>
      <c r="H691" s="8">
        <v>1000</v>
      </c>
      <c r="I691" s="7"/>
      <c r="J691" s="7"/>
      <c r="K691" s="7"/>
      <c r="L691" s="8"/>
      <c r="M691" s="8"/>
      <c r="N691" s="7"/>
      <c r="O691" s="7"/>
      <c r="P691" s="7" t="s">
        <v>87</v>
      </c>
      <c r="Q691" s="9">
        <v>46103</v>
      </c>
      <c r="R691" s="7" t="s">
        <v>290</v>
      </c>
      <c r="S691" s="10" t="s">
        <v>2894</v>
      </c>
    </row>
    <row r="692" spans="1:19" ht="40.5" x14ac:dyDescent="0.25">
      <c r="A692" s="17" t="s">
        <v>2895</v>
      </c>
      <c r="B692" s="7" t="s">
        <v>2896</v>
      </c>
      <c r="C692" s="7" t="s">
        <v>604</v>
      </c>
      <c r="D692" s="7"/>
      <c r="E692" s="7"/>
      <c r="F692" s="7" t="s">
        <v>289</v>
      </c>
      <c r="G692" s="7" t="s">
        <v>289</v>
      </c>
      <c r="H692" s="8"/>
      <c r="I692" s="7"/>
      <c r="J692" s="7"/>
      <c r="K692" s="7"/>
      <c r="L692" s="8"/>
      <c r="M692" s="8"/>
      <c r="N692" s="7"/>
      <c r="O692" s="7"/>
      <c r="P692" s="7" t="s">
        <v>87</v>
      </c>
      <c r="Q692" s="9">
        <v>46192</v>
      </c>
      <c r="R692" s="7" t="s">
        <v>290</v>
      </c>
      <c r="S692" s="10" t="s">
        <v>2897</v>
      </c>
    </row>
    <row r="693" spans="1:19" ht="40.5" x14ac:dyDescent="0.25">
      <c r="A693" s="17" t="s">
        <v>2898</v>
      </c>
      <c r="B693" s="7" t="s">
        <v>2899</v>
      </c>
      <c r="C693" s="7" t="s">
        <v>604</v>
      </c>
      <c r="D693" s="7"/>
      <c r="E693" s="7"/>
      <c r="F693" s="7" t="s">
        <v>289</v>
      </c>
      <c r="G693" s="7" t="s">
        <v>289</v>
      </c>
      <c r="H693" s="8"/>
      <c r="I693" s="7"/>
      <c r="J693" s="7"/>
      <c r="K693" s="7"/>
      <c r="L693" s="8"/>
      <c r="M693" s="8"/>
      <c r="N693" s="7"/>
      <c r="O693" s="7"/>
      <c r="P693" s="7" t="s">
        <v>87</v>
      </c>
      <c r="Q693" s="9">
        <v>46192</v>
      </c>
      <c r="R693" s="7" t="s">
        <v>290</v>
      </c>
      <c r="S693" s="10" t="s">
        <v>2900</v>
      </c>
    </row>
    <row r="694" spans="1:19" ht="40.5" x14ac:dyDescent="0.25">
      <c r="A694" s="17" t="s">
        <v>2901</v>
      </c>
      <c r="B694" s="7" t="s">
        <v>2902</v>
      </c>
      <c r="C694" s="7" t="s">
        <v>288</v>
      </c>
      <c r="D694" s="7"/>
      <c r="E694" s="7"/>
      <c r="F694" s="7" t="s">
        <v>289</v>
      </c>
      <c r="G694" s="7" t="s">
        <v>289</v>
      </c>
      <c r="H694" s="8"/>
      <c r="I694" s="7"/>
      <c r="J694" s="7"/>
      <c r="K694" s="7"/>
      <c r="L694" s="8"/>
      <c r="M694" s="8"/>
      <c r="N694" s="7"/>
      <c r="O694" s="7"/>
      <c r="P694" s="7" t="s">
        <v>87</v>
      </c>
      <c r="Q694" s="9">
        <v>46172</v>
      </c>
      <c r="R694" s="7" t="s">
        <v>290</v>
      </c>
      <c r="S694" s="10" t="s">
        <v>2903</v>
      </c>
    </row>
    <row r="695" spans="1:19" ht="40.5" x14ac:dyDescent="0.25">
      <c r="A695" s="58" t="s">
        <v>2904</v>
      </c>
      <c r="B695" s="7" t="s">
        <v>2905</v>
      </c>
      <c r="C695" s="7" t="s">
        <v>288</v>
      </c>
      <c r="D695" s="7"/>
      <c r="E695" s="7"/>
      <c r="F695" s="7" t="s">
        <v>289</v>
      </c>
      <c r="G695" s="7" t="s">
        <v>289</v>
      </c>
      <c r="H695" s="8"/>
      <c r="I695" s="7"/>
      <c r="J695" s="7"/>
      <c r="K695" s="7"/>
      <c r="L695" s="8"/>
      <c r="M695" s="8"/>
      <c r="N695" s="7"/>
      <c r="O695" s="7"/>
      <c r="P695" s="7" t="s">
        <v>87</v>
      </c>
      <c r="Q695" s="9">
        <v>46172</v>
      </c>
      <c r="R695" s="7" t="s">
        <v>290</v>
      </c>
      <c r="S695" s="10" t="s">
        <v>2906</v>
      </c>
    </row>
    <row r="696" spans="1:19" ht="40.5" x14ac:dyDescent="0.25">
      <c r="A696" s="17" t="s">
        <v>2907</v>
      </c>
      <c r="B696" s="7" t="s">
        <v>2908</v>
      </c>
      <c r="C696" s="7" t="s">
        <v>288</v>
      </c>
      <c r="D696" s="7"/>
      <c r="E696" s="7"/>
      <c r="F696" s="7" t="s">
        <v>289</v>
      </c>
      <c r="G696" s="7" t="s">
        <v>289</v>
      </c>
      <c r="H696" s="8"/>
      <c r="I696" s="7"/>
      <c r="J696" s="7"/>
      <c r="K696" s="7"/>
      <c r="L696" s="8"/>
      <c r="M696" s="8"/>
      <c r="N696" s="7"/>
      <c r="O696" s="7"/>
      <c r="P696" s="7" t="s">
        <v>87</v>
      </c>
      <c r="Q696" s="9">
        <v>46172</v>
      </c>
      <c r="R696" s="7" t="s">
        <v>290</v>
      </c>
      <c r="S696" s="10" t="s">
        <v>2909</v>
      </c>
    </row>
    <row r="697" spans="1:19" ht="54" x14ac:dyDescent="0.25">
      <c r="A697" s="17" t="s">
        <v>2910</v>
      </c>
      <c r="B697" s="7" t="s">
        <v>2911</v>
      </c>
      <c r="C697" s="7" t="s">
        <v>692</v>
      </c>
      <c r="D697" s="7" t="s">
        <v>2912</v>
      </c>
      <c r="E697" s="7" t="s">
        <v>439</v>
      </c>
      <c r="F697" s="7" t="s">
        <v>289</v>
      </c>
      <c r="G697" s="7" t="s">
        <v>289</v>
      </c>
      <c r="H697" s="8">
        <v>1</v>
      </c>
      <c r="I697" s="7"/>
      <c r="J697" s="7"/>
      <c r="K697" s="7"/>
      <c r="L697" s="8"/>
      <c r="M697" s="8"/>
      <c r="N697" s="7"/>
      <c r="O697" s="7"/>
      <c r="P697" s="7" t="s">
        <v>87</v>
      </c>
      <c r="Q697" s="9">
        <v>46105</v>
      </c>
      <c r="R697" s="7" t="s">
        <v>290</v>
      </c>
      <c r="S697" s="10" t="s">
        <v>2913</v>
      </c>
    </row>
    <row r="698" spans="1:19" ht="54" x14ac:dyDescent="0.25">
      <c r="A698" s="17" t="s">
        <v>2914</v>
      </c>
      <c r="B698" s="7" t="s">
        <v>2915</v>
      </c>
      <c r="C698" s="7" t="s">
        <v>692</v>
      </c>
      <c r="D698" s="7" t="s">
        <v>2916</v>
      </c>
      <c r="E698" s="7" t="s">
        <v>439</v>
      </c>
      <c r="F698" s="7" t="s">
        <v>289</v>
      </c>
      <c r="G698" s="7" t="s">
        <v>289</v>
      </c>
      <c r="H698" s="8">
        <v>1</v>
      </c>
      <c r="I698" s="7"/>
      <c r="J698" s="7"/>
      <c r="K698" s="7"/>
      <c r="L698" s="8"/>
      <c r="M698" s="8"/>
      <c r="N698" s="7"/>
      <c r="O698" s="7"/>
      <c r="P698" s="7" t="s">
        <v>87</v>
      </c>
      <c r="Q698" s="9">
        <v>46105</v>
      </c>
      <c r="R698" s="7" t="s">
        <v>290</v>
      </c>
      <c r="S698" s="10" t="s">
        <v>2917</v>
      </c>
    </row>
    <row r="699" spans="1:19" ht="27" x14ac:dyDescent="0.25">
      <c r="A699" s="17" t="s">
        <v>2918</v>
      </c>
      <c r="B699" s="7" t="s">
        <v>2919</v>
      </c>
      <c r="C699" s="7" t="s">
        <v>692</v>
      </c>
      <c r="D699" s="7"/>
      <c r="E699" s="7"/>
      <c r="F699" s="7" t="s">
        <v>289</v>
      </c>
      <c r="G699" s="7" t="s">
        <v>289</v>
      </c>
      <c r="H699" s="8"/>
      <c r="I699" s="7"/>
      <c r="J699" s="7"/>
      <c r="K699" s="7"/>
      <c r="L699" s="8"/>
      <c r="M699" s="8"/>
      <c r="N699" s="7"/>
      <c r="O699" s="7"/>
      <c r="P699" s="7" t="s">
        <v>87</v>
      </c>
      <c r="Q699" s="9">
        <v>46211</v>
      </c>
      <c r="R699" s="7" t="s">
        <v>290</v>
      </c>
      <c r="S699" s="10" t="s">
        <v>2920</v>
      </c>
    </row>
    <row r="700" spans="1:19" ht="27" x14ac:dyDescent="0.25">
      <c r="A700" s="17" t="s">
        <v>2921</v>
      </c>
      <c r="B700" s="7" t="s">
        <v>2922</v>
      </c>
      <c r="C700" s="7" t="s">
        <v>692</v>
      </c>
      <c r="D700" s="7"/>
      <c r="E700" s="7"/>
      <c r="F700" s="7" t="s">
        <v>289</v>
      </c>
      <c r="G700" s="7" t="s">
        <v>289</v>
      </c>
      <c r="H700" s="8"/>
      <c r="I700" s="7"/>
      <c r="J700" s="7"/>
      <c r="K700" s="7"/>
      <c r="L700" s="8"/>
      <c r="M700" s="8"/>
      <c r="N700" s="7"/>
      <c r="O700" s="7"/>
      <c r="P700" s="7" t="s">
        <v>87</v>
      </c>
      <c r="Q700" s="9">
        <v>46211</v>
      </c>
      <c r="R700" s="7" t="s">
        <v>290</v>
      </c>
      <c r="S700" s="10" t="s">
        <v>2923</v>
      </c>
    </row>
    <row r="701" spans="1:19" ht="27" x14ac:dyDescent="0.25">
      <c r="A701" s="17" t="s">
        <v>2924</v>
      </c>
      <c r="B701" s="7" t="s">
        <v>2925</v>
      </c>
      <c r="C701" s="7" t="s">
        <v>692</v>
      </c>
      <c r="D701" s="7"/>
      <c r="E701" s="7"/>
      <c r="F701" s="7" t="s">
        <v>289</v>
      </c>
      <c r="G701" s="7" t="s">
        <v>289</v>
      </c>
      <c r="H701" s="8"/>
      <c r="I701" s="7"/>
      <c r="J701" s="7"/>
      <c r="K701" s="7"/>
      <c r="L701" s="8"/>
      <c r="M701" s="8"/>
      <c r="N701" s="7"/>
      <c r="O701" s="7"/>
      <c r="P701" s="7" t="s">
        <v>87</v>
      </c>
      <c r="Q701" s="9">
        <v>46211</v>
      </c>
      <c r="R701" s="7" t="s">
        <v>290</v>
      </c>
      <c r="S701" s="10" t="s">
        <v>2926</v>
      </c>
    </row>
    <row r="702" spans="1:19" ht="27" x14ac:dyDescent="0.25">
      <c r="A702" s="17" t="s">
        <v>2927</v>
      </c>
      <c r="B702" s="7" t="s">
        <v>2928</v>
      </c>
      <c r="C702" s="7" t="s">
        <v>692</v>
      </c>
      <c r="D702" s="7"/>
      <c r="E702" s="7"/>
      <c r="F702" s="7" t="s">
        <v>289</v>
      </c>
      <c r="G702" s="7" t="s">
        <v>289</v>
      </c>
      <c r="H702" s="8"/>
      <c r="I702" s="7"/>
      <c r="J702" s="7"/>
      <c r="K702" s="7"/>
      <c r="L702" s="8"/>
      <c r="M702" s="8"/>
      <c r="N702" s="7"/>
      <c r="O702" s="7"/>
      <c r="P702" s="7" t="s">
        <v>87</v>
      </c>
      <c r="Q702" s="9">
        <v>46211</v>
      </c>
      <c r="R702" s="7" t="s">
        <v>290</v>
      </c>
      <c r="S702" s="10" t="s">
        <v>2929</v>
      </c>
    </row>
    <row r="703" spans="1:19" ht="54" x14ac:dyDescent="0.25">
      <c r="A703" s="17" t="s">
        <v>2930</v>
      </c>
      <c r="B703" s="7" t="s">
        <v>2931</v>
      </c>
      <c r="C703" s="7" t="s">
        <v>692</v>
      </c>
      <c r="D703" s="7" t="s">
        <v>2932</v>
      </c>
      <c r="E703" s="7" t="s">
        <v>439</v>
      </c>
      <c r="F703" s="7" t="s">
        <v>289</v>
      </c>
      <c r="G703" s="7" t="s">
        <v>289</v>
      </c>
      <c r="H703" s="8">
        <v>1</v>
      </c>
      <c r="I703" s="7"/>
      <c r="J703" s="7"/>
      <c r="K703" s="7"/>
      <c r="L703" s="8"/>
      <c r="M703" s="8"/>
      <c r="N703" s="7"/>
      <c r="O703" s="7"/>
      <c r="P703" s="7" t="s">
        <v>87</v>
      </c>
      <c r="Q703" s="9">
        <v>46105</v>
      </c>
      <c r="R703" s="7" t="s">
        <v>290</v>
      </c>
      <c r="S703" s="10" t="s">
        <v>2933</v>
      </c>
    </row>
    <row r="704" spans="1:19" ht="54" x14ac:dyDescent="0.25">
      <c r="A704" s="17" t="s">
        <v>2934</v>
      </c>
      <c r="B704" s="7" t="s">
        <v>2935</v>
      </c>
      <c r="C704" s="7" t="s">
        <v>692</v>
      </c>
      <c r="D704" s="7" t="s">
        <v>2936</v>
      </c>
      <c r="E704" s="7" t="s">
        <v>439</v>
      </c>
      <c r="F704" s="7" t="s">
        <v>289</v>
      </c>
      <c r="G704" s="7" t="s">
        <v>289</v>
      </c>
      <c r="H704" s="8">
        <v>1</v>
      </c>
      <c r="I704" s="7"/>
      <c r="J704" s="7"/>
      <c r="K704" s="7"/>
      <c r="L704" s="8"/>
      <c r="M704" s="8"/>
      <c r="N704" s="7"/>
      <c r="O704" s="7"/>
      <c r="P704" s="7" t="s">
        <v>87</v>
      </c>
      <c r="Q704" s="9">
        <v>46105</v>
      </c>
      <c r="R704" s="7" t="s">
        <v>290</v>
      </c>
      <c r="S704" s="10" t="s">
        <v>2937</v>
      </c>
    </row>
    <row r="705" spans="1:19" ht="54" x14ac:dyDescent="0.25">
      <c r="A705" s="17" t="s">
        <v>2938</v>
      </c>
      <c r="B705" s="7" t="s">
        <v>2939</v>
      </c>
      <c r="C705" s="7" t="s">
        <v>692</v>
      </c>
      <c r="D705" s="7" t="s">
        <v>2940</v>
      </c>
      <c r="E705" s="7" t="s">
        <v>439</v>
      </c>
      <c r="F705" s="7" t="s">
        <v>289</v>
      </c>
      <c r="G705" s="7" t="s">
        <v>289</v>
      </c>
      <c r="H705" s="8">
        <v>1</v>
      </c>
      <c r="I705" s="7"/>
      <c r="J705" s="7"/>
      <c r="K705" s="7"/>
      <c r="L705" s="8"/>
      <c r="M705" s="8"/>
      <c r="N705" s="7"/>
      <c r="O705" s="7"/>
      <c r="P705" s="7" t="s">
        <v>87</v>
      </c>
      <c r="Q705" s="9">
        <v>46105</v>
      </c>
      <c r="R705" s="7" t="s">
        <v>290</v>
      </c>
      <c r="S705" s="10" t="s">
        <v>2941</v>
      </c>
    </row>
    <row r="706" spans="1:19" ht="54" x14ac:dyDescent="0.25">
      <c r="A706" s="17" t="s">
        <v>2942</v>
      </c>
      <c r="B706" s="7" t="s">
        <v>2943</v>
      </c>
      <c r="C706" s="7" t="s">
        <v>692</v>
      </c>
      <c r="D706" s="7" t="s">
        <v>2944</v>
      </c>
      <c r="E706" s="7" t="s">
        <v>439</v>
      </c>
      <c r="F706" s="7" t="s">
        <v>289</v>
      </c>
      <c r="G706" s="7" t="s">
        <v>289</v>
      </c>
      <c r="H706" s="8">
        <v>1</v>
      </c>
      <c r="I706" s="7"/>
      <c r="J706" s="7"/>
      <c r="K706" s="7"/>
      <c r="L706" s="8"/>
      <c r="M706" s="8"/>
      <c r="N706" s="7"/>
      <c r="O706" s="7"/>
      <c r="P706" s="7" t="s">
        <v>87</v>
      </c>
      <c r="Q706" s="9">
        <v>46105</v>
      </c>
      <c r="R706" s="7" t="s">
        <v>290</v>
      </c>
      <c r="S706" s="10" t="s">
        <v>2945</v>
      </c>
    </row>
    <row r="707" spans="1:19" ht="54" x14ac:dyDescent="0.25">
      <c r="A707" s="17" t="s">
        <v>2946</v>
      </c>
      <c r="B707" s="7" t="s">
        <v>2947</v>
      </c>
      <c r="C707" s="7" t="s">
        <v>692</v>
      </c>
      <c r="D707" s="7" t="s">
        <v>2948</v>
      </c>
      <c r="E707" s="7" t="s">
        <v>439</v>
      </c>
      <c r="F707" s="7" t="s">
        <v>289</v>
      </c>
      <c r="G707" s="7" t="s">
        <v>289</v>
      </c>
      <c r="H707" s="8">
        <v>1</v>
      </c>
      <c r="I707" s="7"/>
      <c r="J707" s="7"/>
      <c r="K707" s="7"/>
      <c r="L707" s="8"/>
      <c r="M707" s="8"/>
      <c r="N707" s="7"/>
      <c r="O707" s="7"/>
      <c r="P707" s="7" t="s">
        <v>87</v>
      </c>
      <c r="Q707" s="9">
        <v>46105</v>
      </c>
      <c r="R707" s="7" t="s">
        <v>290</v>
      </c>
      <c r="S707" s="10" t="s">
        <v>2949</v>
      </c>
    </row>
    <row r="708" spans="1:19" ht="27" x14ac:dyDescent="0.25">
      <c r="A708" s="17" t="s">
        <v>2950</v>
      </c>
      <c r="B708" s="7" t="s">
        <v>2951</v>
      </c>
      <c r="C708" s="7" t="s">
        <v>692</v>
      </c>
      <c r="D708" s="7"/>
      <c r="E708" s="7"/>
      <c r="F708" s="7" t="s">
        <v>289</v>
      </c>
      <c r="G708" s="7" t="s">
        <v>289</v>
      </c>
      <c r="H708" s="8"/>
      <c r="I708" s="7"/>
      <c r="J708" s="7"/>
      <c r="K708" s="7"/>
      <c r="L708" s="8"/>
      <c r="M708" s="8"/>
      <c r="N708" s="7"/>
      <c r="O708" s="7"/>
      <c r="P708" s="7" t="s">
        <v>87</v>
      </c>
      <c r="Q708" s="9">
        <v>46211</v>
      </c>
      <c r="R708" s="7" t="s">
        <v>290</v>
      </c>
      <c r="S708" s="10" t="s">
        <v>2952</v>
      </c>
    </row>
    <row r="709" spans="1:19" ht="27" x14ac:dyDescent="0.25">
      <c r="A709" s="17" t="s">
        <v>2953</v>
      </c>
      <c r="B709" s="7" t="s">
        <v>2954</v>
      </c>
      <c r="C709" s="7" t="s">
        <v>692</v>
      </c>
      <c r="D709" s="7"/>
      <c r="E709" s="7"/>
      <c r="F709" s="7" t="s">
        <v>289</v>
      </c>
      <c r="G709" s="7" t="s">
        <v>289</v>
      </c>
      <c r="H709" s="8"/>
      <c r="I709" s="7"/>
      <c r="J709" s="7"/>
      <c r="K709" s="7"/>
      <c r="L709" s="8"/>
      <c r="M709" s="8"/>
      <c r="N709" s="7"/>
      <c r="O709" s="7"/>
      <c r="P709" s="7" t="s">
        <v>87</v>
      </c>
      <c r="Q709" s="9">
        <v>46211</v>
      </c>
      <c r="R709" s="7" t="s">
        <v>290</v>
      </c>
      <c r="S709" s="10" t="s">
        <v>2955</v>
      </c>
    </row>
    <row r="710" spans="1:19" ht="54" x14ac:dyDescent="0.25">
      <c r="A710" s="17" t="s">
        <v>2956</v>
      </c>
      <c r="B710" s="7" t="s">
        <v>2957</v>
      </c>
      <c r="C710" s="7" t="s">
        <v>692</v>
      </c>
      <c r="D710" s="7" t="s">
        <v>2958</v>
      </c>
      <c r="E710" s="7" t="s">
        <v>439</v>
      </c>
      <c r="F710" s="7" t="s">
        <v>289</v>
      </c>
      <c r="G710" s="7" t="s">
        <v>289</v>
      </c>
      <c r="H710" s="8">
        <v>1</v>
      </c>
      <c r="I710" s="7"/>
      <c r="J710" s="7"/>
      <c r="K710" s="7"/>
      <c r="L710" s="8"/>
      <c r="M710" s="8"/>
      <c r="N710" s="7"/>
      <c r="O710" s="7"/>
      <c r="P710" s="7" t="s">
        <v>87</v>
      </c>
      <c r="Q710" s="9">
        <v>46105</v>
      </c>
      <c r="R710" s="7" t="s">
        <v>290</v>
      </c>
      <c r="S710" s="10" t="s">
        <v>2959</v>
      </c>
    </row>
    <row r="711" spans="1:19" ht="27" x14ac:dyDescent="0.25">
      <c r="A711" s="17" t="s">
        <v>2960</v>
      </c>
      <c r="B711" s="7" t="s">
        <v>2961</v>
      </c>
      <c r="C711" s="7" t="s">
        <v>692</v>
      </c>
      <c r="D711" s="7"/>
      <c r="E711" s="7"/>
      <c r="F711" s="7" t="s">
        <v>289</v>
      </c>
      <c r="G711" s="7" t="s">
        <v>289</v>
      </c>
      <c r="H711" s="8"/>
      <c r="I711" s="7"/>
      <c r="J711" s="7"/>
      <c r="K711" s="7"/>
      <c r="L711" s="8"/>
      <c r="M711" s="8"/>
      <c r="N711" s="7"/>
      <c r="O711" s="7"/>
      <c r="P711" s="7" t="s">
        <v>87</v>
      </c>
      <c r="Q711" s="9">
        <v>46211</v>
      </c>
      <c r="R711" s="7" t="s">
        <v>290</v>
      </c>
      <c r="S711" s="10" t="s">
        <v>2962</v>
      </c>
    </row>
    <row r="712" spans="1:19" ht="54" x14ac:dyDescent="0.25">
      <c r="A712" s="17" t="s">
        <v>2963</v>
      </c>
      <c r="B712" s="7" t="s">
        <v>2964</v>
      </c>
      <c r="C712" s="7" t="s">
        <v>692</v>
      </c>
      <c r="D712" s="7" t="s">
        <v>2965</v>
      </c>
      <c r="E712" s="7" t="s">
        <v>439</v>
      </c>
      <c r="F712" s="7" t="s">
        <v>289</v>
      </c>
      <c r="G712" s="7" t="s">
        <v>289</v>
      </c>
      <c r="H712" s="8">
        <v>1</v>
      </c>
      <c r="I712" s="7"/>
      <c r="J712" s="7"/>
      <c r="K712" s="7"/>
      <c r="L712" s="8"/>
      <c r="M712" s="8"/>
      <c r="N712" s="7"/>
      <c r="O712" s="7"/>
      <c r="P712" s="7" t="s">
        <v>87</v>
      </c>
      <c r="Q712" s="9">
        <v>46105</v>
      </c>
      <c r="R712" s="7" t="s">
        <v>290</v>
      </c>
      <c r="S712" s="10" t="s">
        <v>2966</v>
      </c>
    </row>
    <row r="713" spans="1:19" ht="27" x14ac:dyDescent="0.25">
      <c r="A713" s="17" t="s">
        <v>2967</v>
      </c>
      <c r="B713" s="7" t="s">
        <v>2968</v>
      </c>
      <c r="C713" s="7" t="s">
        <v>692</v>
      </c>
      <c r="D713" s="7"/>
      <c r="E713" s="7"/>
      <c r="F713" s="7" t="s">
        <v>289</v>
      </c>
      <c r="G713" s="7" t="s">
        <v>289</v>
      </c>
      <c r="H713" s="8"/>
      <c r="I713" s="7"/>
      <c r="J713" s="7"/>
      <c r="K713" s="7"/>
      <c r="L713" s="8"/>
      <c r="M713" s="8"/>
      <c r="N713" s="7"/>
      <c r="O713" s="7"/>
      <c r="P713" s="7" t="s">
        <v>87</v>
      </c>
      <c r="Q713" s="9">
        <v>46210</v>
      </c>
      <c r="R713" s="7" t="s">
        <v>290</v>
      </c>
      <c r="S713" s="10" t="s">
        <v>2969</v>
      </c>
    </row>
    <row r="714" spans="1:19" ht="27" x14ac:dyDescent="0.25">
      <c r="A714" s="17" t="s">
        <v>2970</v>
      </c>
      <c r="B714" s="7" t="s">
        <v>2971</v>
      </c>
      <c r="C714" s="7" t="s">
        <v>692</v>
      </c>
      <c r="D714" s="7"/>
      <c r="E714" s="7"/>
      <c r="F714" s="7" t="s">
        <v>289</v>
      </c>
      <c r="G714" s="7" t="s">
        <v>289</v>
      </c>
      <c r="H714" s="8"/>
      <c r="I714" s="7"/>
      <c r="J714" s="7"/>
      <c r="K714" s="7"/>
      <c r="L714" s="8"/>
      <c r="M714" s="8"/>
      <c r="N714" s="7"/>
      <c r="O714" s="7"/>
      <c r="P714" s="7" t="s">
        <v>87</v>
      </c>
      <c r="Q714" s="9">
        <v>46211</v>
      </c>
      <c r="R714" s="7" t="s">
        <v>290</v>
      </c>
      <c r="S714" s="10" t="s">
        <v>2972</v>
      </c>
    </row>
    <row r="715" spans="1:19" ht="27" x14ac:dyDescent="0.25">
      <c r="A715" s="17" t="s">
        <v>2973</v>
      </c>
      <c r="B715" s="7" t="s">
        <v>2974</v>
      </c>
      <c r="C715" s="7" t="s">
        <v>692</v>
      </c>
      <c r="D715" s="7"/>
      <c r="E715" s="7"/>
      <c r="F715" s="7" t="s">
        <v>289</v>
      </c>
      <c r="G715" s="7" t="s">
        <v>289</v>
      </c>
      <c r="H715" s="8"/>
      <c r="I715" s="7"/>
      <c r="J715" s="7"/>
      <c r="K715" s="7"/>
      <c r="L715" s="8"/>
      <c r="M715" s="8"/>
      <c r="N715" s="7"/>
      <c r="O715" s="7"/>
      <c r="P715" s="7" t="s">
        <v>87</v>
      </c>
      <c r="Q715" s="9">
        <v>46211</v>
      </c>
      <c r="R715" s="7" t="s">
        <v>290</v>
      </c>
      <c r="S715" s="10" t="s">
        <v>2975</v>
      </c>
    </row>
    <row r="716" spans="1:19" ht="40.5" x14ac:dyDescent="0.25">
      <c r="A716" s="17" t="s">
        <v>2976</v>
      </c>
      <c r="B716" s="7" t="s">
        <v>2977</v>
      </c>
      <c r="C716" s="7" t="s">
        <v>288</v>
      </c>
      <c r="D716" s="7"/>
      <c r="E716" s="7"/>
      <c r="F716" s="7" t="s">
        <v>289</v>
      </c>
      <c r="G716" s="7" t="s">
        <v>289</v>
      </c>
      <c r="H716" s="8"/>
      <c r="I716" s="7"/>
      <c r="J716" s="7"/>
      <c r="K716" s="7"/>
      <c r="L716" s="8"/>
      <c r="M716" s="8"/>
      <c r="N716" s="7"/>
      <c r="O716" s="7"/>
      <c r="P716" s="7" t="s">
        <v>87</v>
      </c>
      <c r="Q716" s="9">
        <v>46143</v>
      </c>
      <c r="R716" s="7" t="s">
        <v>290</v>
      </c>
      <c r="S716" s="10" t="s">
        <v>2978</v>
      </c>
    </row>
    <row r="717" spans="1:19" ht="27" x14ac:dyDescent="0.25">
      <c r="A717" s="17" t="s">
        <v>2979</v>
      </c>
      <c r="B717" s="7" t="s">
        <v>2980</v>
      </c>
      <c r="C717" s="7" t="s">
        <v>294</v>
      </c>
      <c r="D717" s="7"/>
      <c r="E717" s="7"/>
      <c r="F717" s="7" t="s">
        <v>289</v>
      </c>
      <c r="G717" s="7" t="s">
        <v>289</v>
      </c>
      <c r="H717" s="8"/>
      <c r="I717" s="7"/>
      <c r="J717" s="7"/>
      <c r="K717" s="7"/>
      <c r="L717" s="8"/>
      <c r="M717" s="8"/>
      <c r="N717" s="7"/>
      <c r="O717" s="7"/>
      <c r="P717" s="7" t="s">
        <v>87</v>
      </c>
      <c r="Q717" s="9">
        <v>46197</v>
      </c>
      <c r="R717" s="7" t="s">
        <v>290</v>
      </c>
      <c r="S717" s="10" t="s">
        <v>2981</v>
      </c>
    </row>
    <row r="718" spans="1:19" ht="27" x14ac:dyDescent="0.25">
      <c r="A718" s="17" t="s">
        <v>2982</v>
      </c>
      <c r="B718" s="7" t="s">
        <v>2983</v>
      </c>
      <c r="C718" s="7" t="s">
        <v>348</v>
      </c>
      <c r="D718" s="7"/>
      <c r="E718" s="7"/>
      <c r="F718" s="7" t="s">
        <v>289</v>
      </c>
      <c r="G718" s="7" t="s">
        <v>289</v>
      </c>
      <c r="H718" s="8"/>
      <c r="I718" s="7"/>
      <c r="J718" s="7"/>
      <c r="K718" s="7"/>
      <c r="L718" s="8"/>
      <c r="M718" s="8"/>
      <c r="N718" s="7"/>
      <c r="O718" s="7"/>
      <c r="P718" s="7" t="s">
        <v>87</v>
      </c>
      <c r="Q718" s="9">
        <v>46220</v>
      </c>
      <c r="R718" s="7" t="s">
        <v>290</v>
      </c>
      <c r="S718" s="10" t="s">
        <v>2984</v>
      </c>
    </row>
    <row r="719" spans="1:19" ht="27" x14ac:dyDescent="0.25">
      <c r="A719" s="17" t="s">
        <v>2985</v>
      </c>
      <c r="B719" s="7" t="s">
        <v>2986</v>
      </c>
      <c r="C719" s="7" t="s">
        <v>348</v>
      </c>
      <c r="D719" s="7"/>
      <c r="E719" s="7"/>
      <c r="F719" s="7" t="s">
        <v>289</v>
      </c>
      <c r="G719" s="7" t="s">
        <v>289</v>
      </c>
      <c r="H719" s="8"/>
      <c r="I719" s="7"/>
      <c r="J719" s="7"/>
      <c r="K719" s="7"/>
      <c r="L719" s="8"/>
      <c r="M719" s="8"/>
      <c r="N719" s="7"/>
      <c r="O719" s="7"/>
      <c r="P719" s="7" t="s">
        <v>87</v>
      </c>
      <c r="Q719" s="9">
        <v>46220</v>
      </c>
      <c r="R719" s="7" t="s">
        <v>290</v>
      </c>
      <c r="S719" s="10" t="s">
        <v>2987</v>
      </c>
    </row>
    <row r="720" spans="1:19" ht="27" x14ac:dyDescent="0.25">
      <c r="A720" s="17" t="s">
        <v>2988</v>
      </c>
      <c r="B720" s="7" t="s">
        <v>2989</v>
      </c>
      <c r="C720" s="7" t="s">
        <v>348</v>
      </c>
      <c r="D720" s="7"/>
      <c r="E720" s="7"/>
      <c r="F720" s="7" t="s">
        <v>289</v>
      </c>
      <c r="G720" s="7" t="s">
        <v>289</v>
      </c>
      <c r="H720" s="8"/>
      <c r="I720" s="7"/>
      <c r="J720" s="7"/>
      <c r="K720" s="7"/>
      <c r="L720" s="8"/>
      <c r="M720" s="8"/>
      <c r="N720" s="7"/>
      <c r="O720" s="7"/>
      <c r="P720" s="7" t="s">
        <v>87</v>
      </c>
      <c r="Q720" s="9">
        <v>46220</v>
      </c>
      <c r="R720" s="7" t="s">
        <v>290</v>
      </c>
      <c r="S720" s="10" t="s">
        <v>2990</v>
      </c>
    </row>
    <row r="721" spans="1:19" ht="27" x14ac:dyDescent="0.25">
      <c r="A721" s="17" t="s">
        <v>2991</v>
      </c>
      <c r="B721" s="7" t="s">
        <v>2992</v>
      </c>
      <c r="C721" s="7" t="s">
        <v>348</v>
      </c>
      <c r="D721" s="7"/>
      <c r="E721" s="7"/>
      <c r="F721" s="7" t="s">
        <v>289</v>
      </c>
      <c r="G721" s="7" t="s">
        <v>289</v>
      </c>
      <c r="H721" s="8"/>
      <c r="I721" s="7"/>
      <c r="J721" s="7"/>
      <c r="K721" s="7"/>
      <c r="L721" s="8"/>
      <c r="M721" s="8"/>
      <c r="N721" s="7"/>
      <c r="O721" s="7"/>
      <c r="P721" s="7" t="s">
        <v>87</v>
      </c>
      <c r="Q721" s="9">
        <v>46220</v>
      </c>
      <c r="R721" s="7" t="s">
        <v>290</v>
      </c>
      <c r="S721" s="10" t="s">
        <v>2993</v>
      </c>
    </row>
    <row r="722" spans="1:19" ht="40.5" x14ac:dyDescent="0.25">
      <c r="A722" s="17" t="s">
        <v>2994</v>
      </c>
      <c r="B722" s="7" t="s">
        <v>2995</v>
      </c>
      <c r="C722" s="7" t="s">
        <v>407</v>
      </c>
      <c r="D722" s="7"/>
      <c r="E722" s="7"/>
      <c r="F722" s="7" t="s">
        <v>25</v>
      </c>
      <c r="G722" s="7" t="s">
        <v>25</v>
      </c>
      <c r="H722" s="8"/>
      <c r="I722" s="7"/>
      <c r="J722" s="7"/>
      <c r="K722" s="7"/>
      <c r="L722" s="8"/>
      <c r="M722" s="8"/>
      <c r="N722" s="7"/>
      <c r="O722" s="7"/>
      <c r="P722" s="7" t="s">
        <v>87</v>
      </c>
      <c r="Q722" s="9">
        <v>46192</v>
      </c>
      <c r="R722" s="7" t="s">
        <v>290</v>
      </c>
      <c r="S722" s="10" t="s">
        <v>2996</v>
      </c>
    </row>
    <row r="723" spans="1:19" ht="81" x14ac:dyDescent="0.25">
      <c r="A723" s="17" t="s">
        <v>2997</v>
      </c>
      <c r="B723" s="7" t="s">
        <v>2998</v>
      </c>
      <c r="C723" s="7" t="s">
        <v>2999</v>
      </c>
      <c r="D723" s="7" t="s">
        <v>3000</v>
      </c>
      <c r="E723" s="7" t="s">
        <v>3001</v>
      </c>
      <c r="F723" s="7" t="s">
        <v>25</v>
      </c>
      <c r="G723" s="7" t="s">
        <v>25</v>
      </c>
      <c r="H723" s="8">
        <v>180</v>
      </c>
      <c r="I723" s="7"/>
      <c r="J723" s="7"/>
      <c r="K723" s="7"/>
      <c r="L723" s="8"/>
      <c r="M723" s="8"/>
      <c r="N723" s="7"/>
      <c r="O723" s="7"/>
      <c r="P723" s="7" t="s">
        <v>87</v>
      </c>
      <c r="Q723" s="9">
        <v>46073</v>
      </c>
      <c r="R723" s="7" t="s">
        <v>290</v>
      </c>
      <c r="S723" s="10" t="s">
        <v>3002</v>
      </c>
    </row>
    <row r="724" spans="1:19" ht="81" x14ac:dyDescent="0.25">
      <c r="A724" s="17" t="s">
        <v>3003</v>
      </c>
      <c r="B724" s="7" t="s">
        <v>3004</v>
      </c>
      <c r="C724" s="7" t="s">
        <v>3005</v>
      </c>
      <c r="D724" s="7" t="s">
        <v>3006</v>
      </c>
      <c r="E724" s="7" t="s">
        <v>3007</v>
      </c>
      <c r="F724" s="7" t="s">
        <v>289</v>
      </c>
      <c r="G724" s="7" t="s">
        <v>289</v>
      </c>
      <c r="H724" s="8">
        <v>1</v>
      </c>
      <c r="I724" s="7"/>
      <c r="J724" s="7"/>
      <c r="K724" s="7"/>
      <c r="L724" s="8"/>
      <c r="M724" s="8"/>
      <c r="N724" s="7"/>
      <c r="O724" s="7"/>
      <c r="P724" s="7" t="s">
        <v>87</v>
      </c>
      <c r="Q724" s="9">
        <v>46091</v>
      </c>
      <c r="R724" s="7" t="s">
        <v>290</v>
      </c>
      <c r="S724" s="10" t="s">
        <v>3008</v>
      </c>
    </row>
    <row r="725" spans="1:19" ht="67.5" x14ac:dyDescent="0.25">
      <c r="A725" s="17" t="s">
        <v>3009</v>
      </c>
      <c r="B725" s="7" t="s">
        <v>3010</v>
      </c>
      <c r="C725" s="7" t="s">
        <v>3005</v>
      </c>
      <c r="D725" s="7" t="s">
        <v>3011</v>
      </c>
      <c r="E725" s="7" t="s">
        <v>688</v>
      </c>
      <c r="F725" s="7" t="s">
        <v>25</v>
      </c>
      <c r="G725" s="7" t="s">
        <v>24</v>
      </c>
      <c r="H725" s="8">
        <v>1000</v>
      </c>
      <c r="I725" s="7"/>
      <c r="J725" s="7"/>
      <c r="K725" s="7"/>
      <c r="L725" s="8"/>
      <c r="M725" s="8"/>
      <c r="N725" s="7"/>
      <c r="O725" s="7"/>
      <c r="P725" s="7" t="s">
        <v>87</v>
      </c>
      <c r="Q725" s="9">
        <v>46172</v>
      </c>
      <c r="R725" s="7" t="s">
        <v>290</v>
      </c>
      <c r="S725" s="10" t="s">
        <v>3012</v>
      </c>
    </row>
    <row r="726" spans="1:19" ht="81" x14ac:dyDescent="0.25">
      <c r="A726" s="17" t="s">
        <v>3013</v>
      </c>
      <c r="B726" s="7" t="s">
        <v>3014</v>
      </c>
      <c r="C726" s="7" t="s">
        <v>3005</v>
      </c>
      <c r="D726" s="7" t="s">
        <v>3015</v>
      </c>
      <c r="E726" s="7" t="s">
        <v>3016</v>
      </c>
      <c r="F726" s="7" t="s">
        <v>25</v>
      </c>
      <c r="G726" s="7" t="s">
        <v>25</v>
      </c>
      <c r="H726" s="8">
        <v>2500</v>
      </c>
      <c r="I726" s="7"/>
      <c r="J726" s="7"/>
      <c r="K726" s="7"/>
      <c r="L726" s="8"/>
      <c r="M726" s="8"/>
      <c r="N726" s="7"/>
      <c r="O726" s="7"/>
      <c r="P726" s="7" t="s">
        <v>87</v>
      </c>
      <c r="Q726" s="9">
        <v>46125</v>
      </c>
      <c r="R726" s="7" t="s">
        <v>290</v>
      </c>
      <c r="S726" s="10" t="s">
        <v>3017</v>
      </c>
    </row>
    <row r="727" spans="1:19" ht="81" x14ac:dyDescent="0.25">
      <c r="A727" s="17" t="s">
        <v>3018</v>
      </c>
      <c r="B727" s="7" t="s">
        <v>3019</v>
      </c>
      <c r="C727" s="7" t="s">
        <v>3005</v>
      </c>
      <c r="D727" s="7" t="s">
        <v>3020</v>
      </c>
      <c r="E727" s="7" t="s">
        <v>3021</v>
      </c>
      <c r="F727" s="7" t="s">
        <v>289</v>
      </c>
      <c r="G727" s="7" t="s">
        <v>289</v>
      </c>
      <c r="H727" s="8">
        <v>30</v>
      </c>
      <c r="I727" s="7"/>
      <c r="J727" s="7"/>
      <c r="K727" s="7"/>
      <c r="L727" s="8"/>
      <c r="M727" s="8"/>
      <c r="N727" s="7"/>
      <c r="O727" s="7"/>
      <c r="P727" s="7" t="s">
        <v>87</v>
      </c>
      <c r="Q727" s="9">
        <v>46091</v>
      </c>
      <c r="R727" s="7" t="s">
        <v>290</v>
      </c>
      <c r="S727" s="10" t="s">
        <v>3022</v>
      </c>
    </row>
    <row r="728" spans="1:19" ht="81" x14ac:dyDescent="0.25">
      <c r="A728" s="17" t="s">
        <v>3023</v>
      </c>
      <c r="B728" s="7" t="s">
        <v>3024</v>
      </c>
      <c r="C728" s="7" t="s">
        <v>1248</v>
      </c>
      <c r="D728" s="7" t="s">
        <v>3025</v>
      </c>
      <c r="E728" s="7" t="s">
        <v>3026</v>
      </c>
      <c r="F728" s="7" t="s">
        <v>25</v>
      </c>
      <c r="G728" s="7" t="s">
        <v>25</v>
      </c>
      <c r="H728" s="8">
        <v>1360</v>
      </c>
      <c r="I728" s="7"/>
      <c r="J728" s="7"/>
      <c r="K728" s="7"/>
      <c r="L728" s="8"/>
      <c r="M728" s="8"/>
      <c r="N728" s="7"/>
      <c r="O728" s="7"/>
      <c r="P728" s="7" t="s">
        <v>87</v>
      </c>
      <c r="Q728" s="9">
        <v>46073</v>
      </c>
      <c r="R728" s="7" t="s">
        <v>290</v>
      </c>
      <c r="S728" s="10" t="s">
        <v>3027</v>
      </c>
    </row>
    <row r="729" spans="1:19" ht="81" x14ac:dyDescent="0.25">
      <c r="A729" s="17" t="s">
        <v>3028</v>
      </c>
      <c r="B729" s="7" t="s">
        <v>3029</v>
      </c>
      <c r="C729" s="7" t="s">
        <v>2999</v>
      </c>
      <c r="D729" s="7" t="s">
        <v>3030</v>
      </c>
      <c r="E729" s="7" t="s">
        <v>3031</v>
      </c>
      <c r="F729" s="7" t="s">
        <v>25</v>
      </c>
      <c r="G729" s="7" t="s">
        <v>25</v>
      </c>
      <c r="H729" s="8">
        <v>1000</v>
      </c>
      <c r="I729" s="7"/>
      <c r="J729" s="7"/>
      <c r="K729" s="7"/>
      <c r="L729" s="8"/>
      <c r="M729" s="8"/>
      <c r="N729" s="7"/>
      <c r="O729" s="7"/>
      <c r="P729" s="7" t="s">
        <v>87</v>
      </c>
      <c r="Q729" s="9">
        <v>46097</v>
      </c>
      <c r="R729" s="7" t="s">
        <v>290</v>
      </c>
      <c r="S729" s="10" t="s">
        <v>3032</v>
      </c>
    </row>
    <row r="730" spans="1:19" ht="81" x14ac:dyDescent="0.25">
      <c r="A730" s="17" t="s">
        <v>3033</v>
      </c>
      <c r="B730" s="7" t="s">
        <v>3034</v>
      </c>
      <c r="C730" s="7" t="s">
        <v>2999</v>
      </c>
      <c r="D730" s="7" t="s">
        <v>3035</v>
      </c>
      <c r="E730" s="7" t="s">
        <v>3036</v>
      </c>
      <c r="F730" s="7" t="s">
        <v>25</v>
      </c>
      <c r="G730" s="7" t="s">
        <v>25</v>
      </c>
      <c r="H730" s="8">
        <v>680</v>
      </c>
      <c r="I730" s="7"/>
      <c r="J730" s="7"/>
      <c r="K730" s="7"/>
      <c r="L730" s="8"/>
      <c r="M730" s="8"/>
      <c r="N730" s="7"/>
      <c r="O730" s="7"/>
      <c r="P730" s="7" t="s">
        <v>87</v>
      </c>
      <c r="Q730" s="9">
        <v>46097</v>
      </c>
      <c r="R730" s="7" t="s">
        <v>290</v>
      </c>
      <c r="S730" s="10" t="s">
        <v>3037</v>
      </c>
    </row>
    <row r="731" spans="1:19" ht="81" x14ac:dyDescent="0.25">
      <c r="A731" s="17" t="s">
        <v>3038</v>
      </c>
      <c r="B731" s="7" t="s">
        <v>3039</v>
      </c>
      <c r="C731" s="7" t="s">
        <v>2999</v>
      </c>
      <c r="D731" s="7" t="s">
        <v>3040</v>
      </c>
      <c r="E731" s="7" t="s">
        <v>733</v>
      </c>
      <c r="F731" s="7" t="s">
        <v>289</v>
      </c>
      <c r="G731" s="7" t="s">
        <v>289</v>
      </c>
      <c r="H731" s="8">
        <v>10</v>
      </c>
      <c r="I731" s="7"/>
      <c r="J731" s="7"/>
      <c r="K731" s="7"/>
      <c r="L731" s="8"/>
      <c r="M731" s="8"/>
      <c r="N731" s="7"/>
      <c r="O731" s="7"/>
      <c r="P731" s="7" t="s">
        <v>87</v>
      </c>
      <c r="Q731" s="9">
        <v>46070</v>
      </c>
      <c r="R731" s="7" t="s">
        <v>290</v>
      </c>
      <c r="S731" s="10" t="s">
        <v>3041</v>
      </c>
    </row>
    <row r="732" spans="1:19" ht="81" x14ac:dyDescent="0.25">
      <c r="A732" s="17" t="s">
        <v>3042</v>
      </c>
      <c r="B732" s="7" t="s">
        <v>3043</v>
      </c>
      <c r="C732" s="7" t="s">
        <v>3005</v>
      </c>
      <c r="D732" s="7" t="s">
        <v>3044</v>
      </c>
      <c r="E732" s="7" t="s">
        <v>3045</v>
      </c>
      <c r="F732" s="7" t="s">
        <v>25</v>
      </c>
      <c r="G732" s="7" t="s">
        <v>24</v>
      </c>
      <c r="H732" s="8">
        <v>3.5</v>
      </c>
      <c r="I732" s="7"/>
      <c r="J732" s="7"/>
      <c r="K732" s="7"/>
      <c r="L732" s="8"/>
      <c r="M732" s="8"/>
      <c r="N732" s="7"/>
      <c r="O732" s="7"/>
      <c r="P732" s="7" t="s">
        <v>87</v>
      </c>
      <c r="Q732" s="9">
        <v>46071</v>
      </c>
      <c r="R732" s="7" t="s">
        <v>290</v>
      </c>
      <c r="S732" s="10" t="s">
        <v>3046</v>
      </c>
    </row>
    <row r="733" spans="1:19" ht="81" x14ac:dyDescent="0.25">
      <c r="A733" s="17" t="s">
        <v>3047</v>
      </c>
      <c r="B733" s="7" t="s">
        <v>3048</v>
      </c>
      <c r="C733" s="7" t="s">
        <v>3005</v>
      </c>
      <c r="D733" s="7" t="s">
        <v>3049</v>
      </c>
      <c r="E733" s="7" t="s">
        <v>3050</v>
      </c>
      <c r="F733" s="7" t="s">
        <v>289</v>
      </c>
      <c r="G733" s="7" t="s">
        <v>289</v>
      </c>
      <c r="H733" s="8">
        <v>83</v>
      </c>
      <c r="I733" s="7"/>
      <c r="J733" s="7"/>
      <c r="K733" s="7"/>
      <c r="L733" s="8"/>
      <c r="M733" s="8"/>
      <c r="N733" s="7"/>
      <c r="O733" s="7"/>
      <c r="P733" s="7" t="s">
        <v>87</v>
      </c>
      <c r="Q733" s="9">
        <v>46073</v>
      </c>
      <c r="R733" s="7" t="s">
        <v>290</v>
      </c>
      <c r="S733" s="10" t="s">
        <v>3051</v>
      </c>
    </row>
    <row r="734" spans="1:19" ht="81" x14ac:dyDescent="0.25">
      <c r="A734" s="17" t="s">
        <v>3052</v>
      </c>
      <c r="B734" s="7" t="s">
        <v>3053</v>
      </c>
      <c r="C734" s="7" t="s">
        <v>2999</v>
      </c>
      <c r="D734" s="7" t="s">
        <v>3054</v>
      </c>
      <c r="E734" s="7" t="s">
        <v>3031</v>
      </c>
      <c r="F734" s="7" t="s">
        <v>25</v>
      </c>
      <c r="G734" s="7" t="s">
        <v>25</v>
      </c>
      <c r="H734" s="8">
        <v>1000</v>
      </c>
      <c r="I734" s="7"/>
      <c r="J734" s="7"/>
      <c r="K734" s="7"/>
      <c r="L734" s="8"/>
      <c r="M734" s="8"/>
      <c r="N734" s="7"/>
      <c r="O734" s="7"/>
      <c r="P734" s="7" t="s">
        <v>87</v>
      </c>
      <c r="Q734" s="9">
        <v>46073</v>
      </c>
      <c r="R734" s="7" t="s">
        <v>290</v>
      </c>
      <c r="S734" s="10" t="s">
        <v>3055</v>
      </c>
    </row>
    <row r="735" spans="1:19" ht="81" x14ac:dyDescent="0.25">
      <c r="A735" s="17" t="s">
        <v>3056</v>
      </c>
      <c r="B735" s="7" t="s">
        <v>3057</v>
      </c>
      <c r="C735" s="7" t="s">
        <v>3005</v>
      </c>
      <c r="D735" s="7" t="s">
        <v>3058</v>
      </c>
      <c r="E735" s="7" t="s">
        <v>3059</v>
      </c>
      <c r="F735" s="7" t="s">
        <v>25</v>
      </c>
      <c r="G735" s="7" t="s">
        <v>25</v>
      </c>
      <c r="H735" s="8">
        <v>1000</v>
      </c>
      <c r="I735" s="7"/>
      <c r="J735" s="7"/>
      <c r="K735" s="7"/>
      <c r="L735" s="8"/>
      <c r="M735" s="8"/>
      <c r="N735" s="7"/>
      <c r="O735" s="7"/>
      <c r="P735" s="7" t="s">
        <v>87</v>
      </c>
      <c r="Q735" s="9">
        <v>46083</v>
      </c>
      <c r="R735" s="7" t="s">
        <v>290</v>
      </c>
      <c r="S735" s="10" t="s">
        <v>3060</v>
      </c>
    </row>
    <row r="736" spans="1:19" ht="81" x14ac:dyDescent="0.25">
      <c r="A736" s="17" t="s">
        <v>3061</v>
      </c>
      <c r="B736" s="7" t="s">
        <v>3062</v>
      </c>
      <c r="C736" s="7" t="s">
        <v>3005</v>
      </c>
      <c r="D736" s="7" t="s">
        <v>3063</v>
      </c>
      <c r="E736" s="7" t="s">
        <v>1094</v>
      </c>
      <c r="F736" s="7" t="s">
        <v>25</v>
      </c>
      <c r="G736" s="7" t="s">
        <v>25</v>
      </c>
      <c r="H736" s="8">
        <v>2000</v>
      </c>
      <c r="I736" s="7"/>
      <c r="J736" s="7"/>
      <c r="K736" s="7"/>
      <c r="L736" s="8"/>
      <c r="M736" s="8"/>
      <c r="N736" s="7"/>
      <c r="O736" s="7"/>
      <c r="P736" s="7" t="s">
        <v>87</v>
      </c>
      <c r="Q736" s="9">
        <v>46073</v>
      </c>
      <c r="R736" s="7" t="s">
        <v>290</v>
      </c>
      <c r="S736" s="10" t="s">
        <v>3064</v>
      </c>
    </row>
    <row r="737" spans="1:19" ht="81" x14ac:dyDescent="0.25">
      <c r="A737" s="17" t="s">
        <v>3065</v>
      </c>
      <c r="B737" s="7" t="s">
        <v>3066</v>
      </c>
      <c r="C737" s="7" t="s">
        <v>2999</v>
      </c>
      <c r="D737" s="7" t="s">
        <v>3067</v>
      </c>
      <c r="E737" s="7" t="s">
        <v>733</v>
      </c>
      <c r="F737" s="7" t="s">
        <v>289</v>
      </c>
      <c r="G737" s="7" t="s">
        <v>289</v>
      </c>
      <c r="H737" s="8">
        <v>10</v>
      </c>
      <c r="I737" s="7"/>
      <c r="J737" s="7"/>
      <c r="K737" s="7"/>
      <c r="L737" s="8"/>
      <c r="M737" s="8"/>
      <c r="N737" s="7"/>
      <c r="O737" s="7"/>
      <c r="P737" s="7" t="s">
        <v>87</v>
      </c>
      <c r="Q737" s="9">
        <v>46070</v>
      </c>
      <c r="R737" s="7" t="s">
        <v>290</v>
      </c>
      <c r="S737" s="10" t="s">
        <v>3068</v>
      </c>
    </row>
    <row r="738" spans="1:19" ht="81" x14ac:dyDescent="0.25">
      <c r="A738" s="17" t="s">
        <v>3069</v>
      </c>
      <c r="B738" s="7" t="s">
        <v>3070</v>
      </c>
      <c r="C738" s="7" t="s">
        <v>3005</v>
      </c>
      <c r="D738" s="7" t="s">
        <v>3071</v>
      </c>
      <c r="E738" s="7" t="s">
        <v>361</v>
      </c>
      <c r="F738" s="7" t="s">
        <v>25</v>
      </c>
      <c r="G738" s="7" t="s">
        <v>25</v>
      </c>
      <c r="H738" s="8">
        <v>1000</v>
      </c>
      <c r="I738" s="7"/>
      <c r="J738" s="7"/>
      <c r="K738" s="7"/>
      <c r="L738" s="8"/>
      <c r="M738" s="8"/>
      <c r="N738" s="7"/>
      <c r="O738" s="7"/>
      <c r="P738" s="7" t="s">
        <v>87</v>
      </c>
      <c r="Q738" s="9">
        <v>46094</v>
      </c>
      <c r="R738" s="7" t="s">
        <v>290</v>
      </c>
      <c r="S738" s="10" t="s">
        <v>3072</v>
      </c>
    </row>
    <row r="739" spans="1:19" ht="81" x14ac:dyDescent="0.25">
      <c r="A739" s="17" t="s">
        <v>3073</v>
      </c>
      <c r="B739" s="7" t="s">
        <v>3074</v>
      </c>
      <c r="C739" s="7" t="s">
        <v>3005</v>
      </c>
      <c r="D739" s="7" t="s">
        <v>3075</v>
      </c>
      <c r="E739" s="7" t="s">
        <v>3076</v>
      </c>
      <c r="F739" s="7" t="s">
        <v>25</v>
      </c>
      <c r="G739" s="7" t="s">
        <v>25</v>
      </c>
      <c r="H739" s="8">
        <v>500</v>
      </c>
      <c r="I739" s="7"/>
      <c r="J739" s="7"/>
      <c r="K739" s="7"/>
      <c r="L739" s="8"/>
      <c r="M739" s="8"/>
      <c r="N739" s="7"/>
      <c r="O739" s="7"/>
      <c r="P739" s="7" t="s">
        <v>87</v>
      </c>
      <c r="Q739" s="9">
        <v>46097</v>
      </c>
      <c r="R739" s="7" t="s">
        <v>290</v>
      </c>
      <c r="S739" s="10" t="s">
        <v>3077</v>
      </c>
    </row>
    <row r="740" spans="1:19" ht="81" x14ac:dyDescent="0.25">
      <c r="A740" s="17" t="s">
        <v>3078</v>
      </c>
      <c r="B740" s="7" t="s">
        <v>3079</v>
      </c>
      <c r="C740" s="7" t="s">
        <v>2999</v>
      </c>
      <c r="D740" s="7" t="s">
        <v>3080</v>
      </c>
      <c r="E740" s="7" t="s">
        <v>733</v>
      </c>
      <c r="F740" s="7" t="s">
        <v>289</v>
      </c>
      <c r="G740" s="7" t="s">
        <v>289</v>
      </c>
      <c r="H740" s="8">
        <v>10</v>
      </c>
      <c r="I740" s="7"/>
      <c r="J740" s="7"/>
      <c r="K740" s="7"/>
      <c r="L740" s="8"/>
      <c r="M740" s="8"/>
      <c r="N740" s="7"/>
      <c r="O740" s="7"/>
      <c r="P740" s="7" t="s">
        <v>87</v>
      </c>
      <c r="Q740" s="9">
        <v>46070</v>
      </c>
      <c r="R740" s="7" t="s">
        <v>290</v>
      </c>
      <c r="S740" s="10" t="s">
        <v>3081</v>
      </c>
    </row>
    <row r="741" spans="1:19" ht="40.5" x14ac:dyDescent="0.25">
      <c r="A741" s="17" t="s">
        <v>3082</v>
      </c>
      <c r="B741" s="7" t="s">
        <v>3083</v>
      </c>
      <c r="C741" s="7" t="s">
        <v>1138</v>
      </c>
      <c r="D741" s="7"/>
      <c r="E741" s="7"/>
      <c r="F741" s="7" t="s">
        <v>25</v>
      </c>
      <c r="G741" s="7" t="s">
        <v>25</v>
      </c>
      <c r="H741" s="8"/>
      <c r="I741" s="7"/>
      <c r="J741" s="7"/>
      <c r="K741" s="7"/>
      <c r="L741" s="8"/>
      <c r="M741" s="8"/>
      <c r="N741" s="7"/>
      <c r="O741" s="7"/>
      <c r="P741" s="7" t="s">
        <v>87</v>
      </c>
      <c r="Q741" s="9">
        <v>46097</v>
      </c>
      <c r="R741" s="7" t="s">
        <v>290</v>
      </c>
      <c r="S741" s="10" t="s">
        <v>3084</v>
      </c>
    </row>
    <row r="742" spans="1:19" ht="40.5" x14ac:dyDescent="0.25">
      <c r="A742" s="17" t="s">
        <v>3085</v>
      </c>
      <c r="B742" s="7" t="s">
        <v>3086</v>
      </c>
      <c r="C742" s="7" t="s">
        <v>288</v>
      </c>
      <c r="D742" s="7"/>
      <c r="E742" s="7"/>
      <c r="F742" s="7" t="s">
        <v>289</v>
      </c>
      <c r="G742" s="7" t="s">
        <v>289</v>
      </c>
      <c r="H742" s="8"/>
      <c r="I742" s="7"/>
      <c r="J742" s="7"/>
      <c r="K742" s="7"/>
      <c r="L742" s="8"/>
      <c r="M742" s="8"/>
      <c r="N742" s="7"/>
      <c r="O742" s="7"/>
      <c r="P742" s="7" t="s">
        <v>87</v>
      </c>
      <c r="Q742" s="9">
        <v>46192</v>
      </c>
      <c r="R742" s="7" t="s">
        <v>290</v>
      </c>
      <c r="S742" s="10" t="s">
        <v>3087</v>
      </c>
    </row>
    <row r="743" spans="1:19" ht="81" x14ac:dyDescent="0.25">
      <c r="A743" s="17" t="s">
        <v>3088</v>
      </c>
      <c r="B743" s="7" t="s">
        <v>3089</v>
      </c>
      <c r="C743" s="7" t="s">
        <v>431</v>
      </c>
      <c r="D743" s="7" t="s">
        <v>3090</v>
      </c>
      <c r="E743" s="7" t="s">
        <v>334</v>
      </c>
      <c r="F743" s="7" t="s">
        <v>289</v>
      </c>
      <c r="G743" s="7" t="s">
        <v>289</v>
      </c>
      <c r="H743" s="8">
        <v>1</v>
      </c>
      <c r="I743" s="7"/>
      <c r="J743" s="7"/>
      <c r="K743" s="7"/>
      <c r="L743" s="8"/>
      <c r="M743" s="8"/>
      <c r="N743" s="7"/>
      <c r="O743" s="7"/>
      <c r="P743" s="7" t="s">
        <v>87</v>
      </c>
      <c r="Q743" s="9">
        <v>46094</v>
      </c>
      <c r="R743" s="7" t="s">
        <v>290</v>
      </c>
      <c r="S743" s="10" t="s">
        <v>3091</v>
      </c>
    </row>
    <row r="744" spans="1:19" ht="40.5" x14ac:dyDescent="0.25">
      <c r="A744" s="17" t="s">
        <v>3092</v>
      </c>
      <c r="B744" s="7" t="s">
        <v>3093</v>
      </c>
      <c r="C744" s="7" t="s">
        <v>596</v>
      </c>
      <c r="D744" s="7"/>
      <c r="E744" s="7"/>
      <c r="F744" s="7" t="s">
        <v>289</v>
      </c>
      <c r="G744" s="7" t="s">
        <v>289</v>
      </c>
      <c r="H744" s="8"/>
      <c r="I744" s="7"/>
      <c r="J744" s="7"/>
      <c r="K744" s="7"/>
      <c r="L744" s="8"/>
      <c r="M744" s="8"/>
      <c r="N744" s="7"/>
      <c r="O744" s="7"/>
      <c r="P744" s="7" t="s">
        <v>87</v>
      </c>
      <c r="Q744" s="9">
        <v>46192</v>
      </c>
      <c r="R744" s="7" t="s">
        <v>290</v>
      </c>
      <c r="S744" s="10" t="s">
        <v>3094</v>
      </c>
    </row>
    <row r="745" spans="1:19" ht="40.5" x14ac:dyDescent="0.25">
      <c r="A745" s="17" t="s">
        <v>3095</v>
      </c>
      <c r="B745" s="7" t="s">
        <v>3096</v>
      </c>
      <c r="C745" s="7" t="s">
        <v>288</v>
      </c>
      <c r="D745" s="7"/>
      <c r="E745" s="7"/>
      <c r="F745" s="7" t="s">
        <v>289</v>
      </c>
      <c r="G745" s="7" t="s">
        <v>289</v>
      </c>
      <c r="H745" s="8"/>
      <c r="I745" s="7"/>
      <c r="J745" s="7"/>
      <c r="K745" s="7"/>
      <c r="L745" s="8"/>
      <c r="M745" s="8"/>
      <c r="N745" s="7"/>
      <c r="O745" s="7"/>
      <c r="P745" s="7" t="s">
        <v>87</v>
      </c>
      <c r="Q745" s="9">
        <v>46143</v>
      </c>
      <c r="R745" s="7" t="s">
        <v>290</v>
      </c>
      <c r="S745" s="10" t="s">
        <v>3097</v>
      </c>
    </row>
    <row r="746" spans="1:19" ht="40.5" x14ac:dyDescent="0.25">
      <c r="A746" s="17" t="s">
        <v>3098</v>
      </c>
      <c r="B746" s="7" t="s">
        <v>3099</v>
      </c>
      <c r="C746" s="7" t="s">
        <v>604</v>
      </c>
      <c r="D746" s="7"/>
      <c r="E746" s="7"/>
      <c r="F746" s="7" t="s">
        <v>289</v>
      </c>
      <c r="G746" s="7" t="s">
        <v>289</v>
      </c>
      <c r="H746" s="8"/>
      <c r="I746" s="7"/>
      <c r="J746" s="7"/>
      <c r="K746" s="7"/>
      <c r="L746" s="8"/>
      <c r="M746" s="8"/>
      <c r="N746" s="7"/>
      <c r="O746" s="7"/>
      <c r="P746" s="7" t="s">
        <v>87</v>
      </c>
      <c r="Q746" s="9">
        <v>46192</v>
      </c>
      <c r="R746" s="7" t="s">
        <v>290</v>
      </c>
      <c r="S746" s="10" t="s">
        <v>3100</v>
      </c>
    </row>
    <row r="747" spans="1:19" ht="40.5" x14ac:dyDescent="0.25">
      <c r="A747" s="17" t="s">
        <v>3101</v>
      </c>
      <c r="B747" s="7" t="s">
        <v>3102</v>
      </c>
      <c r="C747" s="7" t="s">
        <v>596</v>
      </c>
      <c r="D747" s="7"/>
      <c r="E747" s="7"/>
      <c r="F747" s="7" t="s">
        <v>289</v>
      </c>
      <c r="G747" s="7" t="s">
        <v>289</v>
      </c>
      <c r="H747" s="8"/>
      <c r="I747" s="7"/>
      <c r="J747" s="7"/>
      <c r="K747" s="7"/>
      <c r="L747" s="8"/>
      <c r="M747" s="8"/>
      <c r="N747" s="7"/>
      <c r="O747" s="7"/>
      <c r="P747" s="7" t="s">
        <v>87</v>
      </c>
      <c r="Q747" s="9">
        <v>46192</v>
      </c>
      <c r="R747" s="7" t="s">
        <v>290</v>
      </c>
      <c r="S747" s="10" t="s">
        <v>3103</v>
      </c>
    </row>
    <row r="748" spans="1:19" ht="40.5" x14ac:dyDescent="0.25">
      <c r="A748" s="17" t="s">
        <v>3104</v>
      </c>
      <c r="B748" s="7" t="s">
        <v>3105</v>
      </c>
      <c r="C748" s="7" t="s">
        <v>596</v>
      </c>
      <c r="D748" s="7"/>
      <c r="E748" s="7"/>
      <c r="F748" s="7" t="s">
        <v>289</v>
      </c>
      <c r="G748" s="7" t="s">
        <v>289</v>
      </c>
      <c r="H748" s="8"/>
      <c r="I748" s="7"/>
      <c r="J748" s="7"/>
      <c r="K748" s="7"/>
      <c r="L748" s="8"/>
      <c r="M748" s="8"/>
      <c r="N748" s="7"/>
      <c r="O748" s="7"/>
      <c r="P748" s="7" t="s">
        <v>87</v>
      </c>
      <c r="Q748" s="9">
        <v>46192</v>
      </c>
      <c r="R748" s="7" t="s">
        <v>290</v>
      </c>
      <c r="S748" s="10" t="s">
        <v>3106</v>
      </c>
    </row>
    <row r="749" spans="1:19" ht="81" x14ac:dyDescent="0.25">
      <c r="A749" s="17" t="s">
        <v>3107</v>
      </c>
      <c r="B749" s="7" t="s">
        <v>3108</v>
      </c>
      <c r="C749" s="7" t="s">
        <v>1154</v>
      </c>
      <c r="D749" s="7" t="s">
        <v>3109</v>
      </c>
      <c r="E749" s="7" t="s">
        <v>776</v>
      </c>
      <c r="F749" s="7" t="s">
        <v>289</v>
      </c>
      <c r="G749" s="7" t="s">
        <v>289</v>
      </c>
      <c r="H749" s="8">
        <v>1</v>
      </c>
      <c r="I749" s="7"/>
      <c r="J749" s="7"/>
      <c r="K749" s="7"/>
      <c r="L749" s="8"/>
      <c r="M749" s="8"/>
      <c r="N749" s="7"/>
      <c r="O749" s="7"/>
      <c r="P749" s="7" t="s">
        <v>87</v>
      </c>
      <c r="Q749" s="9">
        <v>46172</v>
      </c>
      <c r="R749" s="7" t="s">
        <v>290</v>
      </c>
      <c r="S749" s="10" t="s">
        <v>3110</v>
      </c>
    </row>
    <row r="750" spans="1:19" ht="67.5" x14ac:dyDescent="0.25">
      <c r="A750" s="17" t="s">
        <v>3111</v>
      </c>
      <c r="B750" s="7" t="s">
        <v>3112</v>
      </c>
      <c r="C750" s="7" t="s">
        <v>298</v>
      </c>
      <c r="D750" s="7" t="s">
        <v>3113</v>
      </c>
      <c r="E750" s="7" t="s">
        <v>2677</v>
      </c>
      <c r="F750" s="7" t="s">
        <v>25</v>
      </c>
      <c r="G750" s="7" t="s">
        <v>25</v>
      </c>
      <c r="H750" s="8">
        <v>1000</v>
      </c>
      <c r="I750" s="7"/>
      <c r="J750" s="7"/>
      <c r="K750" s="7"/>
      <c r="L750" s="8"/>
      <c r="M750" s="8"/>
      <c r="N750" s="7"/>
      <c r="O750" s="7"/>
      <c r="P750" s="7" t="s">
        <v>87</v>
      </c>
      <c r="Q750" s="9">
        <v>46076</v>
      </c>
      <c r="R750" s="7" t="s">
        <v>290</v>
      </c>
      <c r="S750" s="10" t="s">
        <v>3114</v>
      </c>
    </row>
    <row r="751" spans="1:19" ht="40.5" x14ac:dyDescent="0.25">
      <c r="A751" s="17" t="s">
        <v>3115</v>
      </c>
      <c r="B751" s="7" t="s">
        <v>3116</v>
      </c>
      <c r="C751" s="7" t="s">
        <v>288</v>
      </c>
      <c r="D751" s="7"/>
      <c r="E751" s="7"/>
      <c r="F751" s="7" t="s">
        <v>289</v>
      </c>
      <c r="G751" s="7" t="s">
        <v>289</v>
      </c>
      <c r="H751" s="8"/>
      <c r="I751" s="7"/>
      <c r="J751" s="7"/>
      <c r="K751" s="7"/>
      <c r="L751" s="8"/>
      <c r="M751" s="8"/>
      <c r="N751" s="7"/>
      <c r="O751" s="7"/>
      <c r="P751" s="7" t="s">
        <v>87</v>
      </c>
      <c r="Q751" s="9">
        <v>46143</v>
      </c>
      <c r="R751" s="7" t="s">
        <v>290</v>
      </c>
      <c r="S751" s="10" t="s">
        <v>3117</v>
      </c>
    </row>
    <row r="752" spans="1:19" ht="40.5" x14ac:dyDescent="0.25">
      <c r="A752" s="17" t="s">
        <v>3118</v>
      </c>
      <c r="B752" s="7" t="s">
        <v>3119</v>
      </c>
      <c r="C752" s="7" t="s">
        <v>378</v>
      </c>
      <c r="D752" s="7"/>
      <c r="E752" s="7"/>
      <c r="F752" s="7" t="s">
        <v>289</v>
      </c>
      <c r="G752" s="7" t="s">
        <v>289</v>
      </c>
      <c r="H752" s="8"/>
      <c r="I752" s="7"/>
      <c r="J752" s="7"/>
      <c r="K752" s="7"/>
      <c r="L752" s="8"/>
      <c r="M752" s="8"/>
      <c r="N752" s="7"/>
      <c r="O752" s="7"/>
      <c r="P752" s="7" t="s">
        <v>87</v>
      </c>
      <c r="Q752" s="9">
        <v>46221</v>
      </c>
      <c r="R752" s="7" t="s">
        <v>290</v>
      </c>
      <c r="S752" s="10" t="s">
        <v>3120</v>
      </c>
    </row>
    <row r="753" spans="1:19" ht="40.5" x14ac:dyDescent="0.25">
      <c r="A753" s="17" t="s">
        <v>3121</v>
      </c>
      <c r="B753" s="7" t="s">
        <v>3122</v>
      </c>
      <c r="C753" s="7" t="s">
        <v>3123</v>
      </c>
      <c r="D753" s="7"/>
      <c r="E753" s="7"/>
      <c r="F753" s="7" t="s">
        <v>25</v>
      </c>
      <c r="G753" s="7" t="s">
        <v>25</v>
      </c>
      <c r="H753" s="8"/>
      <c r="I753" s="7"/>
      <c r="J753" s="7"/>
      <c r="K753" s="7"/>
      <c r="L753" s="8"/>
      <c r="M753" s="8"/>
      <c r="N753" s="7"/>
      <c r="O753" s="7"/>
      <c r="P753" s="7" t="s">
        <v>87</v>
      </c>
      <c r="Q753" s="9">
        <v>46178</v>
      </c>
      <c r="R753" s="7" t="s">
        <v>290</v>
      </c>
      <c r="S753" s="10" t="s">
        <v>3124</v>
      </c>
    </row>
    <row r="754" spans="1:19" ht="40.5" x14ac:dyDescent="0.25">
      <c r="A754" s="17" t="s">
        <v>3125</v>
      </c>
      <c r="B754" s="7" t="s">
        <v>3126</v>
      </c>
      <c r="C754" s="7" t="s">
        <v>1254</v>
      </c>
      <c r="D754" s="7"/>
      <c r="E754" s="7"/>
      <c r="F754" s="7" t="s">
        <v>25</v>
      </c>
      <c r="G754" s="7" t="s">
        <v>25</v>
      </c>
      <c r="H754" s="8"/>
      <c r="I754" s="7"/>
      <c r="J754" s="7"/>
      <c r="K754" s="7"/>
      <c r="L754" s="8"/>
      <c r="M754" s="8"/>
      <c r="N754" s="7"/>
      <c r="O754" s="7"/>
      <c r="P754" s="7" t="s">
        <v>87</v>
      </c>
      <c r="Q754" s="9">
        <v>46113</v>
      </c>
      <c r="R754" s="7" t="s">
        <v>290</v>
      </c>
      <c r="S754" s="10" t="s">
        <v>3127</v>
      </c>
    </row>
    <row r="755" spans="1:19" ht="81" x14ac:dyDescent="0.25">
      <c r="A755" s="17" t="s">
        <v>3128</v>
      </c>
      <c r="B755" s="7" t="s">
        <v>3129</v>
      </c>
      <c r="C755" s="7" t="s">
        <v>359</v>
      </c>
      <c r="D755" s="7" t="s">
        <v>3130</v>
      </c>
      <c r="E755" s="7" t="s">
        <v>361</v>
      </c>
      <c r="F755" s="7" t="s">
        <v>25</v>
      </c>
      <c r="G755" s="7" t="s">
        <v>25</v>
      </c>
      <c r="H755" s="8">
        <v>1000</v>
      </c>
      <c r="I755" s="7"/>
      <c r="J755" s="7"/>
      <c r="K755" s="7"/>
      <c r="L755" s="8"/>
      <c r="M755" s="8"/>
      <c r="N755" s="7"/>
      <c r="O755" s="7"/>
      <c r="P755" s="7" t="s">
        <v>87</v>
      </c>
      <c r="Q755" s="9">
        <v>46107</v>
      </c>
      <c r="R755" s="7" t="s">
        <v>290</v>
      </c>
      <c r="S755" s="10" t="s">
        <v>3131</v>
      </c>
    </row>
    <row r="756" spans="1:19" ht="81" x14ac:dyDescent="0.25">
      <c r="A756" s="17" t="s">
        <v>3132</v>
      </c>
      <c r="B756" s="7" t="s">
        <v>3133</v>
      </c>
      <c r="C756" s="7" t="s">
        <v>359</v>
      </c>
      <c r="D756" s="7" t="s">
        <v>3134</v>
      </c>
      <c r="E756" s="7" t="s">
        <v>361</v>
      </c>
      <c r="F756" s="7" t="s">
        <v>25</v>
      </c>
      <c r="G756" s="7" t="s">
        <v>25</v>
      </c>
      <c r="H756" s="8">
        <v>1000</v>
      </c>
      <c r="I756" s="7"/>
      <c r="J756" s="7"/>
      <c r="K756" s="7"/>
      <c r="L756" s="8"/>
      <c r="M756" s="8"/>
      <c r="N756" s="7"/>
      <c r="O756" s="7"/>
      <c r="P756" s="7" t="s">
        <v>87</v>
      </c>
      <c r="Q756" s="9">
        <v>46126</v>
      </c>
      <c r="R756" s="7" t="s">
        <v>290</v>
      </c>
      <c r="S756" s="10" t="s">
        <v>3135</v>
      </c>
    </row>
    <row r="757" spans="1:19" ht="81" x14ac:dyDescent="0.25">
      <c r="A757" s="17" t="s">
        <v>3136</v>
      </c>
      <c r="B757" s="7" t="s">
        <v>3137</v>
      </c>
      <c r="C757" s="7" t="s">
        <v>359</v>
      </c>
      <c r="D757" s="7" t="s">
        <v>3138</v>
      </c>
      <c r="E757" s="7" t="s">
        <v>361</v>
      </c>
      <c r="F757" s="7" t="s">
        <v>25</v>
      </c>
      <c r="G757" s="7" t="s">
        <v>25</v>
      </c>
      <c r="H757" s="8">
        <v>1000</v>
      </c>
      <c r="I757" s="7"/>
      <c r="J757" s="7"/>
      <c r="K757" s="7"/>
      <c r="L757" s="8"/>
      <c r="M757" s="8"/>
      <c r="N757" s="7"/>
      <c r="O757" s="7"/>
      <c r="P757" s="7" t="s">
        <v>87</v>
      </c>
      <c r="Q757" s="9">
        <v>46126</v>
      </c>
      <c r="R757" s="7" t="s">
        <v>290</v>
      </c>
      <c r="S757" s="10" t="s">
        <v>3139</v>
      </c>
    </row>
    <row r="758" spans="1:19" ht="27" x14ac:dyDescent="0.25">
      <c r="A758" s="17" t="s">
        <v>3140</v>
      </c>
      <c r="B758" s="7" t="s">
        <v>3141</v>
      </c>
      <c r="C758" s="7" t="s">
        <v>294</v>
      </c>
      <c r="D758" s="7"/>
      <c r="E758" s="7"/>
      <c r="F758" s="7" t="s">
        <v>289</v>
      </c>
      <c r="G758" s="7" t="s">
        <v>289</v>
      </c>
      <c r="H758" s="8"/>
      <c r="I758" s="7"/>
      <c r="J758" s="7"/>
      <c r="K758" s="7"/>
      <c r="L758" s="8"/>
      <c r="M758" s="8"/>
      <c r="N758" s="7"/>
      <c r="O758" s="7"/>
      <c r="P758" s="7" t="s">
        <v>87</v>
      </c>
      <c r="Q758" s="9">
        <v>46197</v>
      </c>
      <c r="R758" s="7" t="s">
        <v>290</v>
      </c>
      <c r="S758" s="10" t="s">
        <v>3142</v>
      </c>
    </row>
    <row r="759" spans="1:19" ht="81" x14ac:dyDescent="0.25">
      <c r="A759" s="17" t="s">
        <v>3143</v>
      </c>
      <c r="B759" s="7" t="s">
        <v>3144</v>
      </c>
      <c r="C759" s="7" t="s">
        <v>420</v>
      </c>
      <c r="D759" s="7" t="s">
        <v>3145</v>
      </c>
      <c r="E759" s="7" t="s">
        <v>361</v>
      </c>
      <c r="F759" s="7" t="s">
        <v>25</v>
      </c>
      <c r="G759" s="7" t="s">
        <v>25</v>
      </c>
      <c r="H759" s="8">
        <v>1000</v>
      </c>
      <c r="I759" s="7"/>
      <c r="J759" s="7"/>
      <c r="K759" s="7"/>
      <c r="L759" s="8"/>
      <c r="M759" s="8"/>
      <c r="N759" s="7"/>
      <c r="O759" s="7"/>
      <c r="P759" s="7" t="s">
        <v>87</v>
      </c>
      <c r="Q759" s="9">
        <v>46126</v>
      </c>
      <c r="R759" s="7" t="s">
        <v>290</v>
      </c>
      <c r="S759" s="10" t="s">
        <v>3146</v>
      </c>
    </row>
    <row r="760" spans="1:19" ht="81" x14ac:dyDescent="0.25">
      <c r="A760" s="17" t="s">
        <v>3147</v>
      </c>
      <c r="B760" s="7" t="s">
        <v>3148</v>
      </c>
      <c r="C760" s="7" t="s">
        <v>481</v>
      </c>
      <c r="D760" s="7" t="s">
        <v>3149</v>
      </c>
      <c r="E760" s="7" t="s">
        <v>496</v>
      </c>
      <c r="F760" s="7" t="s">
        <v>308</v>
      </c>
      <c r="G760" s="7" t="s">
        <v>308</v>
      </c>
      <c r="H760" s="8">
        <v>750</v>
      </c>
      <c r="I760" s="7"/>
      <c r="J760" s="7"/>
      <c r="K760" s="7"/>
      <c r="L760" s="8"/>
      <c r="M760" s="8"/>
      <c r="N760" s="7"/>
      <c r="O760" s="7"/>
      <c r="P760" s="7" t="s">
        <v>87</v>
      </c>
      <c r="Q760" s="9">
        <v>46150</v>
      </c>
      <c r="R760" s="7" t="s">
        <v>290</v>
      </c>
      <c r="S760" s="10" t="s">
        <v>3150</v>
      </c>
    </row>
    <row r="761" spans="1:19" ht="54" x14ac:dyDescent="0.25">
      <c r="A761" s="17" t="s">
        <v>3151</v>
      </c>
      <c r="B761" s="7" t="s">
        <v>3152</v>
      </c>
      <c r="C761" s="7" t="s">
        <v>294</v>
      </c>
      <c r="D761" s="7" t="s">
        <v>3153</v>
      </c>
      <c r="E761" s="7" t="s">
        <v>439</v>
      </c>
      <c r="F761" s="7" t="s">
        <v>289</v>
      </c>
      <c r="G761" s="7" t="s">
        <v>289</v>
      </c>
      <c r="H761" s="8">
        <v>1</v>
      </c>
      <c r="I761" s="7"/>
      <c r="J761" s="7"/>
      <c r="K761" s="7"/>
      <c r="L761" s="8"/>
      <c r="M761" s="8"/>
      <c r="N761" s="7"/>
      <c r="O761" s="7"/>
      <c r="P761" s="7" t="s">
        <v>87</v>
      </c>
      <c r="Q761" s="9">
        <v>46121</v>
      </c>
      <c r="R761" s="7" t="s">
        <v>290</v>
      </c>
      <c r="S761" s="10" t="s">
        <v>3154</v>
      </c>
    </row>
    <row r="762" spans="1:19" ht="54" x14ac:dyDescent="0.25">
      <c r="A762" s="17" t="s">
        <v>3155</v>
      </c>
      <c r="B762" s="7" t="s">
        <v>3156</v>
      </c>
      <c r="C762" s="7" t="s">
        <v>294</v>
      </c>
      <c r="D762" s="7" t="s">
        <v>3157</v>
      </c>
      <c r="E762" s="7" t="s">
        <v>439</v>
      </c>
      <c r="F762" s="7" t="s">
        <v>289</v>
      </c>
      <c r="G762" s="7" t="s">
        <v>289</v>
      </c>
      <c r="H762" s="8">
        <v>1</v>
      </c>
      <c r="I762" s="7"/>
      <c r="J762" s="7"/>
      <c r="K762" s="7"/>
      <c r="L762" s="8"/>
      <c r="M762" s="8"/>
      <c r="N762" s="7"/>
      <c r="O762" s="7"/>
      <c r="P762" s="7" t="s">
        <v>87</v>
      </c>
      <c r="Q762" s="9">
        <v>46121</v>
      </c>
      <c r="R762" s="7" t="s">
        <v>290</v>
      </c>
      <c r="S762" s="10" t="s">
        <v>3158</v>
      </c>
    </row>
    <row r="763" spans="1:19" ht="54" x14ac:dyDescent="0.25">
      <c r="A763" s="17" t="s">
        <v>3159</v>
      </c>
      <c r="B763" s="7" t="s">
        <v>3160</v>
      </c>
      <c r="C763" s="7" t="s">
        <v>294</v>
      </c>
      <c r="D763" s="7" t="s">
        <v>3161</v>
      </c>
      <c r="E763" s="7" t="s">
        <v>439</v>
      </c>
      <c r="F763" s="7" t="s">
        <v>289</v>
      </c>
      <c r="G763" s="7" t="s">
        <v>289</v>
      </c>
      <c r="H763" s="8">
        <v>1</v>
      </c>
      <c r="I763" s="7"/>
      <c r="J763" s="7"/>
      <c r="K763" s="7"/>
      <c r="L763" s="8"/>
      <c r="M763" s="8"/>
      <c r="N763" s="7"/>
      <c r="O763" s="7"/>
      <c r="P763" s="7" t="s">
        <v>87</v>
      </c>
      <c r="Q763" s="9">
        <v>46121</v>
      </c>
      <c r="R763" s="7" t="s">
        <v>290</v>
      </c>
      <c r="S763" s="10" t="s">
        <v>3162</v>
      </c>
    </row>
    <row r="764" spans="1:19" ht="54" x14ac:dyDescent="0.25">
      <c r="A764" s="17" t="s">
        <v>3163</v>
      </c>
      <c r="B764" s="7" t="s">
        <v>3164</v>
      </c>
      <c r="C764" s="7" t="s">
        <v>294</v>
      </c>
      <c r="D764" s="7" t="s">
        <v>3165</v>
      </c>
      <c r="E764" s="7" t="s">
        <v>439</v>
      </c>
      <c r="F764" s="7" t="s">
        <v>289</v>
      </c>
      <c r="G764" s="7" t="s">
        <v>289</v>
      </c>
      <c r="H764" s="8">
        <v>1</v>
      </c>
      <c r="I764" s="7"/>
      <c r="J764" s="7"/>
      <c r="K764" s="7"/>
      <c r="L764" s="8"/>
      <c r="M764" s="8"/>
      <c r="N764" s="7"/>
      <c r="O764" s="7"/>
      <c r="P764" s="7" t="s">
        <v>87</v>
      </c>
      <c r="Q764" s="9">
        <v>46121</v>
      </c>
      <c r="R764" s="7" t="s">
        <v>290</v>
      </c>
      <c r="S764" s="10" t="s">
        <v>3166</v>
      </c>
    </row>
    <row r="765" spans="1:19" ht="40.5" x14ac:dyDescent="0.25">
      <c r="A765" s="17" t="s">
        <v>3167</v>
      </c>
      <c r="B765" s="7" t="s">
        <v>3168</v>
      </c>
      <c r="C765" s="7" t="s">
        <v>2810</v>
      </c>
      <c r="D765" s="7"/>
      <c r="E765" s="7"/>
      <c r="F765" s="7" t="s">
        <v>25</v>
      </c>
      <c r="G765" s="7" t="s">
        <v>25</v>
      </c>
      <c r="H765" s="8"/>
      <c r="I765" s="7"/>
      <c r="J765" s="7"/>
      <c r="K765" s="7"/>
      <c r="L765" s="8"/>
      <c r="M765" s="8"/>
      <c r="N765" s="7"/>
      <c r="O765" s="7"/>
      <c r="P765" s="7" t="s">
        <v>87</v>
      </c>
      <c r="Q765" s="9">
        <v>46111</v>
      </c>
      <c r="R765" s="7" t="s">
        <v>290</v>
      </c>
      <c r="S765" s="10" t="s">
        <v>3169</v>
      </c>
    </row>
    <row r="766" spans="1:19" ht="81" x14ac:dyDescent="0.25">
      <c r="A766" s="17" t="s">
        <v>3170</v>
      </c>
      <c r="B766" s="7" t="s">
        <v>3171</v>
      </c>
      <c r="C766" s="7" t="s">
        <v>1404</v>
      </c>
      <c r="D766" s="7" t="s">
        <v>3172</v>
      </c>
      <c r="E766" s="7" t="s">
        <v>3173</v>
      </c>
      <c r="F766" s="7" t="s">
        <v>25</v>
      </c>
      <c r="G766" s="7" t="s">
        <v>25</v>
      </c>
      <c r="H766" s="8">
        <v>250</v>
      </c>
      <c r="I766" s="7"/>
      <c r="J766" s="7"/>
      <c r="K766" s="7"/>
      <c r="L766" s="8"/>
      <c r="M766" s="8"/>
      <c r="N766" s="7"/>
      <c r="O766" s="7"/>
      <c r="P766" s="7" t="s">
        <v>87</v>
      </c>
      <c r="Q766" s="9">
        <v>46094</v>
      </c>
      <c r="R766" s="7" t="s">
        <v>290</v>
      </c>
      <c r="S766" s="10" t="s">
        <v>3174</v>
      </c>
    </row>
    <row r="767" spans="1:19" ht="81" x14ac:dyDescent="0.25">
      <c r="A767" s="17" t="s">
        <v>3175</v>
      </c>
      <c r="B767" s="7" t="s">
        <v>3176</v>
      </c>
      <c r="C767" s="7" t="s">
        <v>539</v>
      </c>
      <c r="D767" s="7" t="s">
        <v>3177</v>
      </c>
      <c r="E767" s="7" t="s">
        <v>361</v>
      </c>
      <c r="F767" s="7" t="s">
        <v>25</v>
      </c>
      <c r="G767" s="7" t="s">
        <v>25</v>
      </c>
      <c r="H767" s="8">
        <v>1000</v>
      </c>
      <c r="I767" s="7"/>
      <c r="J767" s="7"/>
      <c r="K767" s="7"/>
      <c r="L767" s="8"/>
      <c r="M767" s="8"/>
      <c r="N767" s="7"/>
      <c r="O767" s="7"/>
      <c r="P767" s="7" t="s">
        <v>87</v>
      </c>
      <c r="Q767" s="9">
        <v>46073</v>
      </c>
      <c r="R767" s="7" t="s">
        <v>290</v>
      </c>
      <c r="S767" s="10" t="s">
        <v>3178</v>
      </c>
    </row>
    <row r="768" spans="1:19" ht="81" x14ac:dyDescent="0.25">
      <c r="A768" s="17" t="s">
        <v>3179</v>
      </c>
      <c r="B768" s="7" t="s">
        <v>3180</v>
      </c>
      <c r="C768" s="7" t="s">
        <v>388</v>
      </c>
      <c r="D768" s="7" t="s">
        <v>3181</v>
      </c>
      <c r="E768" s="7" t="s">
        <v>361</v>
      </c>
      <c r="F768" s="7" t="s">
        <v>25</v>
      </c>
      <c r="G768" s="7" t="s">
        <v>25</v>
      </c>
      <c r="H768" s="8">
        <v>1000</v>
      </c>
      <c r="I768" s="7"/>
      <c r="J768" s="7"/>
      <c r="K768" s="7"/>
      <c r="L768" s="8"/>
      <c r="M768" s="8"/>
      <c r="N768" s="7"/>
      <c r="O768" s="7"/>
      <c r="P768" s="7" t="s">
        <v>87</v>
      </c>
      <c r="Q768" s="9">
        <v>46094</v>
      </c>
      <c r="R768" s="7" t="s">
        <v>290</v>
      </c>
      <c r="S768" s="10" t="s">
        <v>3182</v>
      </c>
    </row>
    <row r="769" spans="1:19" ht="40.5" x14ac:dyDescent="0.25">
      <c r="A769" s="17" t="s">
        <v>3183</v>
      </c>
      <c r="B769" s="7" t="s">
        <v>3184</v>
      </c>
      <c r="C769" s="7" t="s">
        <v>604</v>
      </c>
      <c r="D769" s="7"/>
      <c r="E769" s="7"/>
      <c r="F769" s="7" t="s">
        <v>289</v>
      </c>
      <c r="G769" s="7" t="s">
        <v>289</v>
      </c>
      <c r="H769" s="8"/>
      <c r="I769" s="7"/>
      <c r="J769" s="7"/>
      <c r="K769" s="7"/>
      <c r="L769" s="8"/>
      <c r="M769" s="8"/>
      <c r="N769" s="7"/>
      <c r="O769" s="7"/>
      <c r="P769" s="7" t="s">
        <v>87</v>
      </c>
      <c r="Q769" s="9">
        <v>46192</v>
      </c>
      <c r="R769" s="7" t="s">
        <v>290</v>
      </c>
      <c r="S769" s="10" t="s">
        <v>3185</v>
      </c>
    </row>
    <row r="770" spans="1:19" ht="81" x14ac:dyDescent="0.25">
      <c r="A770" s="17" t="s">
        <v>3186</v>
      </c>
      <c r="B770" s="7" t="s">
        <v>3187</v>
      </c>
      <c r="C770" s="7" t="s">
        <v>3188</v>
      </c>
      <c r="D770" s="7" t="s">
        <v>3189</v>
      </c>
      <c r="E770" s="7" t="s">
        <v>3190</v>
      </c>
      <c r="F770" s="7" t="s">
        <v>25</v>
      </c>
      <c r="G770" s="7" t="s">
        <v>25</v>
      </c>
      <c r="H770" s="8">
        <v>100</v>
      </c>
      <c r="I770" s="7"/>
      <c r="J770" s="7"/>
      <c r="K770" s="7"/>
      <c r="L770" s="8"/>
      <c r="M770" s="8"/>
      <c r="N770" s="7"/>
      <c r="O770" s="7"/>
      <c r="P770" s="7" t="s">
        <v>87</v>
      </c>
      <c r="Q770" s="9">
        <v>46073</v>
      </c>
      <c r="R770" s="7" t="s">
        <v>290</v>
      </c>
      <c r="S770" s="10" t="s">
        <v>3191</v>
      </c>
    </row>
    <row r="771" spans="1:19" ht="40.5" x14ac:dyDescent="0.25">
      <c r="A771" s="17" t="s">
        <v>3192</v>
      </c>
      <c r="B771" s="7" t="s">
        <v>3193</v>
      </c>
      <c r="C771" s="7" t="s">
        <v>2209</v>
      </c>
      <c r="D771" s="7"/>
      <c r="E771" s="7"/>
      <c r="F771" s="7" t="s">
        <v>301</v>
      </c>
      <c r="G771" s="7" t="s">
        <v>301</v>
      </c>
      <c r="H771" s="8"/>
      <c r="I771" s="7"/>
      <c r="J771" s="7"/>
      <c r="K771" s="7"/>
      <c r="L771" s="8"/>
      <c r="M771" s="8"/>
      <c r="N771" s="7"/>
      <c r="O771" s="7"/>
      <c r="P771" s="7" t="s">
        <v>87</v>
      </c>
      <c r="Q771" s="9">
        <v>46133</v>
      </c>
      <c r="R771" s="7" t="s">
        <v>290</v>
      </c>
      <c r="S771" s="10" t="s">
        <v>3194</v>
      </c>
    </row>
    <row r="772" spans="1:19" ht="81" x14ac:dyDescent="0.25">
      <c r="A772" s="17" t="s">
        <v>3195</v>
      </c>
      <c r="B772" s="7" t="s">
        <v>3196</v>
      </c>
      <c r="C772" s="7" t="s">
        <v>2260</v>
      </c>
      <c r="D772" s="7" t="s">
        <v>3197</v>
      </c>
      <c r="E772" s="7" t="s">
        <v>3198</v>
      </c>
      <c r="F772" s="7" t="s">
        <v>25</v>
      </c>
      <c r="G772" s="7" t="s">
        <v>25</v>
      </c>
      <c r="H772" s="8">
        <v>1080</v>
      </c>
      <c r="I772" s="7"/>
      <c r="J772" s="7"/>
      <c r="K772" s="7"/>
      <c r="L772" s="8"/>
      <c r="M772" s="8"/>
      <c r="N772" s="7"/>
      <c r="O772" s="7"/>
      <c r="P772" s="7" t="s">
        <v>87</v>
      </c>
      <c r="Q772" s="9">
        <v>46112</v>
      </c>
      <c r="R772" s="7" t="s">
        <v>290</v>
      </c>
      <c r="S772" s="10" t="s">
        <v>3199</v>
      </c>
    </row>
    <row r="773" spans="1:19" ht="40.5" x14ac:dyDescent="0.25">
      <c r="A773" s="17" t="s">
        <v>3200</v>
      </c>
      <c r="B773" s="7" t="s">
        <v>3201</v>
      </c>
      <c r="C773" s="7" t="s">
        <v>298</v>
      </c>
      <c r="D773" s="7"/>
      <c r="E773" s="7"/>
      <c r="F773" s="7" t="s">
        <v>25</v>
      </c>
      <c r="G773" s="7" t="s">
        <v>25</v>
      </c>
      <c r="H773" s="8"/>
      <c r="I773" s="7"/>
      <c r="J773" s="7"/>
      <c r="K773" s="7"/>
      <c r="L773" s="8"/>
      <c r="M773" s="8"/>
      <c r="N773" s="7"/>
      <c r="O773" s="7"/>
      <c r="P773" s="7" t="s">
        <v>87</v>
      </c>
      <c r="Q773" s="9">
        <v>46097</v>
      </c>
      <c r="R773" s="7" t="s">
        <v>290</v>
      </c>
      <c r="S773" s="10" t="s">
        <v>3202</v>
      </c>
    </row>
    <row r="774" spans="1:19" ht="40.5" x14ac:dyDescent="0.25">
      <c r="A774" s="17" t="s">
        <v>3203</v>
      </c>
      <c r="B774" s="7" t="s">
        <v>3204</v>
      </c>
      <c r="C774" s="7" t="s">
        <v>298</v>
      </c>
      <c r="D774" s="7"/>
      <c r="E774" s="7"/>
      <c r="F774" s="7" t="s">
        <v>25</v>
      </c>
      <c r="G774" s="7" t="s">
        <v>25</v>
      </c>
      <c r="H774" s="8"/>
      <c r="I774" s="7"/>
      <c r="J774" s="7"/>
      <c r="K774" s="7"/>
      <c r="L774" s="8"/>
      <c r="M774" s="8"/>
      <c r="N774" s="7"/>
      <c r="O774" s="7"/>
      <c r="P774" s="7" t="s">
        <v>87</v>
      </c>
      <c r="Q774" s="9">
        <v>46097</v>
      </c>
      <c r="R774" s="7" t="s">
        <v>290</v>
      </c>
      <c r="S774" s="10" t="s">
        <v>3205</v>
      </c>
    </row>
    <row r="775" spans="1:19" ht="40.5" x14ac:dyDescent="0.25">
      <c r="A775" s="17" t="s">
        <v>3206</v>
      </c>
      <c r="B775" s="7" t="s">
        <v>3207</v>
      </c>
      <c r="C775" s="7" t="s">
        <v>298</v>
      </c>
      <c r="D775" s="7"/>
      <c r="E775" s="7"/>
      <c r="F775" s="7" t="s">
        <v>25</v>
      </c>
      <c r="G775" s="7" t="s">
        <v>25</v>
      </c>
      <c r="H775" s="8"/>
      <c r="I775" s="7"/>
      <c r="J775" s="7"/>
      <c r="K775" s="7"/>
      <c r="L775" s="8"/>
      <c r="M775" s="8"/>
      <c r="N775" s="7"/>
      <c r="O775" s="7"/>
      <c r="P775" s="7" t="s">
        <v>87</v>
      </c>
      <c r="Q775" s="9">
        <v>46097</v>
      </c>
      <c r="R775" s="7" t="s">
        <v>290</v>
      </c>
      <c r="S775" s="10" t="s">
        <v>3208</v>
      </c>
    </row>
    <row r="776" spans="1:19" ht="40.5" x14ac:dyDescent="0.25">
      <c r="A776" s="17" t="s">
        <v>3209</v>
      </c>
      <c r="B776" s="7" t="s">
        <v>3210</v>
      </c>
      <c r="C776" s="7" t="s">
        <v>298</v>
      </c>
      <c r="D776" s="7"/>
      <c r="E776" s="7"/>
      <c r="F776" s="7" t="s">
        <v>289</v>
      </c>
      <c r="G776" s="7" t="s">
        <v>289</v>
      </c>
      <c r="H776" s="8"/>
      <c r="I776" s="7"/>
      <c r="J776" s="7"/>
      <c r="K776" s="7"/>
      <c r="L776" s="8"/>
      <c r="M776" s="8"/>
      <c r="N776" s="7"/>
      <c r="O776" s="7"/>
      <c r="P776" s="7" t="s">
        <v>87</v>
      </c>
      <c r="Q776" s="9">
        <v>46097</v>
      </c>
      <c r="R776" s="7" t="s">
        <v>290</v>
      </c>
      <c r="S776" s="10" t="s">
        <v>3211</v>
      </c>
    </row>
    <row r="777" spans="1:19" ht="81" x14ac:dyDescent="0.25">
      <c r="A777" s="17" t="s">
        <v>3212</v>
      </c>
      <c r="B777" s="7" t="s">
        <v>3213</v>
      </c>
      <c r="C777" s="7" t="s">
        <v>2260</v>
      </c>
      <c r="D777" s="7" t="s">
        <v>3214</v>
      </c>
      <c r="E777" s="7" t="s">
        <v>3215</v>
      </c>
      <c r="F777" s="7" t="s">
        <v>25</v>
      </c>
      <c r="G777" s="7" t="s">
        <v>25</v>
      </c>
      <c r="H777" s="8">
        <v>2000</v>
      </c>
      <c r="I777" s="7"/>
      <c r="J777" s="7"/>
      <c r="K777" s="7"/>
      <c r="L777" s="8"/>
      <c r="M777" s="8"/>
      <c r="N777" s="7"/>
      <c r="O777" s="7"/>
      <c r="P777" s="7" t="s">
        <v>87</v>
      </c>
      <c r="Q777" s="9">
        <v>46149</v>
      </c>
      <c r="R777" s="7" t="s">
        <v>290</v>
      </c>
      <c r="S777" s="10" t="s">
        <v>3216</v>
      </c>
    </row>
    <row r="778" spans="1:19" ht="81" x14ac:dyDescent="0.25">
      <c r="A778" s="17" t="s">
        <v>3217</v>
      </c>
      <c r="B778" s="7" t="s">
        <v>3218</v>
      </c>
      <c r="C778" s="7" t="s">
        <v>2260</v>
      </c>
      <c r="D778" s="7" t="s">
        <v>3219</v>
      </c>
      <c r="E778" s="7" t="s">
        <v>1360</v>
      </c>
      <c r="F778" s="7" t="s">
        <v>25</v>
      </c>
      <c r="G778" s="7" t="s">
        <v>25</v>
      </c>
      <c r="H778" s="8">
        <v>1000</v>
      </c>
      <c r="I778" s="7"/>
      <c r="J778" s="7"/>
      <c r="K778" s="7"/>
      <c r="L778" s="8"/>
      <c r="M778" s="8"/>
      <c r="N778" s="7"/>
      <c r="O778" s="7"/>
      <c r="P778" s="7" t="s">
        <v>87</v>
      </c>
      <c r="Q778" s="9">
        <v>46112</v>
      </c>
      <c r="R778" s="7" t="s">
        <v>290</v>
      </c>
      <c r="S778" s="10" t="s">
        <v>3220</v>
      </c>
    </row>
    <row r="779" spans="1:19" ht="81" x14ac:dyDescent="0.25">
      <c r="A779" s="17" t="s">
        <v>3221</v>
      </c>
      <c r="B779" s="7" t="s">
        <v>3222</v>
      </c>
      <c r="C779" s="7" t="s">
        <v>590</v>
      </c>
      <c r="D779" s="7" t="s">
        <v>3223</v>
      </c>
      <c r="E779" s="7" t="s">
        <v>651</v>
      </c>
      <c r="F779" s="7" t="s">
        <v>289</v>
      </c>
      <c r="G779" s="7" t="s">
        <v>289</v>
      </c>
      <c r="H779" s="8">
        <v>100</v>
      </c>
      <c r="I779" s="7"/>
      <c r="J779" s="7"/>
      <c r="K779" s="7"/>
      <c r="L779" s="8"/>
      <c r="M779" s="8"/>
      <c r="N779" s="7"/>
      <c r="O779" s="7"/>
      <c r="P779" s="7" t="s">
        <v>87</v>
      </c>
      <c r="Q779" s="9">
        <v>46097</v>
      </c>
      <c r="R779" s="7" t="s">
        <v>290</v>
      </c>
      <c r="S779" s="10" t="s">
        <v>3224</v>
      </c>
    </row>
    <row r="780" spans="1:19" ht="27" x14ac:dyDescent="0.25">
      <c r="A780" s="17" t="s">
        <v>3225</v>
      </c>
      <c r="B780" s="7" t="s">
        <v>3226</v>
      </c>
      <c r="C780" s="7" t="s">
        <v>1029</v>
      </c>
      <c r="D780" s="7"/>
      <c r="E780" s="7"/>
      <c r="F780" s="7" t="s">
        <v>289</v>
      </c>
      <c r="G780" s="7" t="s">
        <v>289</v>
      </c>
      <c r="H780" s="8"/>
      <c r="I780" s="7"/>
      <c r="J780" s="7"/>
      <c r="K780" s="7"/>
      <c r="L780" s="8"/>
      <c r="M780" s="8"/>
      <c r="N780" s="7"/>
      <c r="O780" s="7"/>
      <c r="P780" s="7" t="s">
        <v>87</v>
      </c>
      <c r="Q780" s="9">
        <v>46185</v>
      </c>
      <c r="R780" s="7" t="s">
        <v>290</v>
      </c>
      <c r="S780" s="10" t="s">
        <v>3227</v>
      </c>
    </row>
    <row r="781" spans="1:19" ht="27" x14ac:dyDescent="0.25">
      <c r="A781" s="17" t="s">
        <v>3228</v>
      </c>
      <c r="B781" s="7" t="s">
        <v>3229</v>
      </c>
      <c r="C781" s="7" t="s">
        <v>1029</v>
      </c>
      <c r="D781" s="7"/>
      <c r="E781" s="7"/>
      <c r="F781" s="7" t="s">
        <v>289</v>
      </c>
      <c r="G781" s="7" t="s">
        <v>289</v>
      </c>
      <c r="H781" s="8"/>
      <c r="I781" s="7"/>
      <c r="J781" s="7"/>
      <c r="K781" s="7"/>
      <c r="L781" s="8"/>
      <c r="M781" s="8"/>
      <c r="N781" s="7"/>
      <c r="O781" s="7"/>
      <c r="P781" s="7" t="s">
        <v>87</v>
      </c>
      <c r="Q781" s="9">
        <v>46185</v>
      </c>
      <c r="R781" s="7" t="s">
        <v>290</v>
      </c>
      <c r="S781" s="10" t="s">
        <v>3230</v>
      </c>
    </row>
    <row r="782" spans="1:19" ht="27" x14ac:dyDescent="0.25">
      <c r="A782" s="17" t="s">
        <v>3231</v>
      </c>
      <c r="B782" s="7" t="s">
        <v>3232</v>
      </c>
      <c r="C782" s="7" t="s">
        <v>692</v>
      </c>
      <c r="D782" s="7"/>
      <c r="E782" s="7"/>
      <c r="F782" s="7" t="s">
        <v>289</v>
      </c>
      <c r="G782" s="7" t="s">
        <v>289</v>
      </c>
      <c r="H782" s="8"/>
      <c r="I782" s="7"/>
      <c r="J782" s="7"/>
      <c r="K782" s="7"/>
      <c r="L782" s="8"/>
      <c r="M782" s="8"/>
      <c r="N782" s="7"/>
      <c r="O782" s="7"/>
      <c r="P782" s="7" t="s">
        <v>87</v>
      </c>
      <c r="Q782" s="9">
        <v>46165</v>
      </c>
      <c r="R782" s="7" t="s">
        <v>290</v>
      </c>
      <c r="S782" s="10" t="s">
        <v>3233</v>
      </c>
    </row>
    <row r="783" spans="1:19" ht="27" x14ac:dyDescent="0.25">
      <c r="A783" s="17" t="s">
        <v>3234</v>
      </c>
      <c r="B783" s="7" t="s">
        <v>3235</v>
      </c>
      <c r="C783" s="7" t="s">
        <v>1029</v>
      </c>
      <c r="D783" s="7"/>
      <c r="E783" s="7"/>
      <c r="F783" s="7" t="s">
        <v>289</v>
      </c>
      <c r="G783" s="7" t="s">
        <v>289</v>
      </c>
      <c r="H783" s="8"/>
      <c r="I783" s="7"/>
      <c r="J783" s="7"/>
      <c r="K783" s="7"/>
      <c r="L783" s="8"/>
      <c r="M783" s="8"/>
      <c r="N783" s="7"/>
      <c r="O783" s="7"/>
      <c r="P783" s="7" t="s">
        <v>87</v>
      </c>
      <c r="Q783" s="9">
        <v>46185</v>
      </c>
      <c r="R783" s="7" t="s">
        <v>290</v>
      </c>
      <c r="S783" s="10" t="s">
        <v>3236</v>
      </c>
    </row>
    <row r="784" spans="1:19" ht="27" x14ac:dyDescent="0.25">
      <c r="A784" s="17" t="s">
        <v>3237</v>
      </c>
      <c r="B784" s="7" t="s">
        <v>3238</v>
      </c>
      <c r="C784" s="7" t="s">
        <v>1029</v>
      </c>
      <c r="D784" s="7"/>
      <c r="E784" s="7"/>
      <c r="F784" s="7" t="s">
        <v>289</v>
      </c>
      <c r="G784" s="7" t="s">
        <v>289</v>
      </c>
      <c r="H784" s="8"/>
      <c r="I784" s="7"/>
      <c r="J784" s="7"/>
      <c r="K784" s="7"/>
      <c r="L784" s="8"/>
      <c r="M784" s="8"/>
      <c r="N784" s="7"/>
      <c r="O784" s="7"/>
      <c r="P784" s="7" t="s">
        <v>87</v>
      </c>
      <c r="Q784" s="9">
        <v>46185</v>
      </c>
      <c r="R784" s="7" t="s">
        <v>290</v>
      </c>
      <c r="S784" s="10" t="s">
        <v>3239</v>
      </c>
    </row>
    <row r="785" spans="1:19" ht="27" x14ac:dyDescent="0.25">
      <c r="A785" s="17" t="s">
        <v>3240</v>
      </c>
      <c r="B785" s="7" t="s">
        <v>3241</v>
      </c>
      <c r="C785" s="7" t="s">
        <v>1029</v>
      </c>
      <c r="D785" s="7"/>
      <c r="E785" s="7"/>
      <c r="F785" s="7" t="s">
        <v>289</v>
      </c>
      <c r="G785" s="7" t="s">
        <v>289</v>
      </c>
      <c r="H785" s="8"/>
      <c r="I785" s="7"/>
      <c r="J785" s="7"/>
      <c r="K785" s="7"/>
      <c r="L785" s="8"/>
      <c r="M785" s="8"/>
      <c r="N785" s="7"/>
      <c r="O785" s="7"/>
      <c r="P785" s="7" t="s">
        <v>87</v>
      </c>
      <c r="Q785" s="9">
        <v>46185</v>
      </c>
      <c r="R785" s="7" t="s">
        <v>290</v>
      </c>
      <c r="S785" s="10" t="s">
        <v>3242</v>
      </c>
    </row>
    <row r="786" spans="1:19" ht="27" x14ac:dyDescent="0.25">
      <c r="A786" s="17" t="s">
        <v>3243</v>
      </c>
      <c r="B786" s="7" t="s">
        <v>3244</v>
      </c>
      <c r="C786" s="7" t="s">
        <v>1029</v>
      </c>
      <c r="D786" s="7"/>
      <c r="E786" s="7"/>
      <c r="F786" s="7" t="s">
        <v>289</v>
      </c>
      <c r="G786" s="7" t="s">
        <v>289</v>
      </c>
      <c r="H786" s="8"/>
      <c r="I786" s="7"/>
      <c r="J786" s="7"/>
      <c r="K786" s="7"/>
      <c r="L786" s="8"/>
      <c r="M786" s="8"/>
      <c r="N786" s="7"/>
      <c r="O786" s="7"/>
      <c r="P786" s="7" t="s">
        <v>87</v>
      </c>
      <c r="Q786" s="9">
        <v>46185</v>
      </c>
      <c r="R786" s="7" t="s">
        <v>290</v>
      </c>
      <c r="S786" s="10" t="s">
        <v>3245</v>
      </c>
    </row>
    <row r="787" spans="1:19" ht="27" x14ac:dyDescent="0.25">
      <c r="A787" s="17" t="s">
        <v>3246</v>
      </c>
      <c r="B787" s="7" t="s">
        <v>3247</v>
      </c>
      <c r="C787" s="7" t="s">
        <v>1029</v>
      </c>
      <c r="D787" s="7"/>
      <c r="E787" s="7"/>
      <c r="F787" s="7" t="s">
        <v>289</v>
      </c>
      <c r="G787" s="7" t="s">
        <v>289</v>
      </c>
      <c r="H787" s="8"/>
      <c r="I787" s="7"/>
      <c r="J787" s="7"/>
      <c r="K787" s="7"/>
      <c r="L787" s="8"/>
      <c r="M787" s="8"/>
      <c r="N787" s="7"/>
      <c r="O787" s="7"/>
      <c r="P787" s="7" t="s">
        <v>87</v>
      </c>
      <c r="Q787" s="9">
        <v>46185</v>
      </c>
      <c r="R787" s="7" t="s">
        <v>290</v>
      </c>
      <c r="S787" s="10" t="s">
        <v>3248</v>
      </c>
    </row>
    <row r="788" spans="1:19" ht="27" x14ac:dyDescent="0.25">
      <c r="A788" s="17" t="s">
        <v>3249</v>
      </c>
      <c r="B788" s="7" t="s">
        <v>3250</v>
      </c>
      <c r="C788" s="7" t="s">
        <v>1029</v>
      </c>
      <c r="D788" s="7"/>
      <c r="E788" s="7"/>
      <c r="F788" s="7" t="s">
        <v>289</v>
      </c>
      <c r="G788" s="7" t="s">
        <v>289</v>
      </c>
      <c r="H788" s="8"/>
      <c r="I788" s="7"/>
      <c r="J788" s="7"/>
      <c r="K788" s="7"/>
      <c r="L788" s="8"/>
      <c r="M788" s="8"/>
      <c r="N788" s="7"/>
      <c r="O788" s="7"/>
      <c r="P788" s="7" t="s">
        <v>87</v>
      </c>
      <c r="Q788" s="9">
        <v>46185</v>
      </c>
      <c r="R788" s="7" t="s">
        <v>290</v>
      </c>
      <c r="S788" s="10" t="s">
        <v>3251</v>
      </c>
    </row>
    <row r="789" spans="1:19" ht="40.5" x14ac:dyDescent="0.25">
      <c r="A789" s="17" t="s">
        <v>3252</v>
      </c>
      <c r="B789" s="7" t="s">
        <v>3253</v>
      </c>
      <c r="C789" s="7" t="s">
        <v>288</v>
      </c>
      <c r="D789" s="7"/>
      <c r="E789" s="7"/>
      <c r="F789" s="7" t="s">
        <v>289</v>
      </c>
      <c r="G789" s="7" t="s">
        <v>289</v>
      </c>
      <c r="H789" s="8"/>
      <c r="I789" s="7"/>
      <c r="J789" s="7"/>
      <c r="K789" s="7"/>
      <c r="L789" s="8"/>
      <c r="M789" s="8"/>
      <c r="N789" s="7"/>
      <c r="O789" s="7"/>
      <c r="P789" s="7" t="s">
        <v>87</v>
      </c>
      <c r="Q789" s="9">
        <v>46143</v>
      </c>
      <c r="R789" s="7" t="s">
        <v>290</v>
      </c>
      <c r="S789" s="10" t="s">
        <v>3254</v>
      </c>
    </row>
    <row r="790" spans="1:19" ht="81" x14ac:dyDescent="0.25">
      <c r="A790" s="17" t="s">
        <v>3255</v>
      </c>
      <c r="B790" s="7" t="s">
        <v>3256</v>
      </c>
      <c r="C790" s="7" t="s">
        <v>455</v>
      </c>
      <c r="D790" s="7" t="s">
        <v>3257</v>
      </c>
      <c r="E790" s="7" t="s">
        <v>361</v>
      </c>
      <c r="F790" s="7" t="s">
        <v>25</v>
      </c>
      <c r="G790" s="7" t="s">
        <v>25</v>
      </c>
      <c r="H790" s="8">
        <v>1000</v>
      </c>
      <c r="I790" s="7"/>
      <c r="J790" s="7"/>
      <c r="K790" s="7"/>
      <c r="L790" s="8"/>
      <c r="M790" s="8"/>
      <c r="N790" s="7"/>
      <c r="O790" s="7"/>
      <c r="P790" s="7" t="s">
        <v>87</v>
      </c>
      <c r="Q790" s="9">
        <v>46097</v>
      </c>
      <c r="R790" s="7" t="s">
        <v>290</v>
      </c>
      <c r="S790" s="10" t="s">
        <v>3258</v>
      </c>
    </row>
    <row r="791" spans="1:19" ht="81" x14ac:dyDescent="0.25">
      <c r="A791" s="17" t="s">
        <v>3259</v>
      </c>
      <c r="B791" s="7" t="s">
        <v>3260</v>
      </c>
      <c r="C791" s="7" t="s">
        <v>411</v>
      </c>
      <c r="D791" s="7" t="s">
        <v>3261</v>
      </c>
      <c r="E791" s="7" t="s">
        <v>361</v>
      </c>
      <c r="F791" s="7" t="s">
        <v>25</v>
      </c>
      <c r="G791" s="7" t="s">
        <v>25</v>
      </c>
      <c r="H791" s="8">
        <v>1000</v>
      </c>
      <c r="I791" s="7"/>
      <c r="J791" s="7"/>
      <c r="K791" s="7"/>
      <c r="L791" s="8"/>
      <c r="M791" s="8"/>
      <c r="N791" s="7"/>
      <c r="O791" s="7"/>
      <c r="P791" s="7" t="s">
        <v>87</v>
      </c>
      <c r="Q791" s="9">
        <v>46172</v>
      </c>
      <c r="R791" s="7" t="s">
        <v>290</v>
      </c>
      <c r="S791" s="10" t="s">
        <v>3262</v>
      </c>
    </row>
    <row r="792" spans="1:19" ht="81" x14ac:dyDescent="0.25">
      <c r="A792" s="17" t="s">
        <v>3263</v>
      </c>
      <c r="B792" s="7" t="s">
        <v>3264</v>
      </c>
      <c r="C792" s="7" t="s">
        <v>411</v>
      </c>
      <c r="D792" s="7" t="s">
        <v>3265</v>
      </c>
      <c r="E792" s="7" t="s">
        <v>361</v>
      </c>
      <c r="F792" s="7" t="s">
        <v>25</v>
      </c>
      <c r="G792" s="7" t="s">
        <v>25</v>
      </c>
      <c r="H792" s="8">
        <v>1000</v>
      </c>
      <c r="I792" s="7"/>
      <c r="J792" s="7"/>
      <c r="K792" s="7"/>
      <c r="L792" s="8"/>
      <c r="M792" s="8"/>
      <c r="N792" s="7"/>
      <c r="O792" s="7"/>
      <c r="P792" s="7" t="s">
        <v>87</v>
      </c>
      <c r="Q792" s="9">
        <v>46172</v>
      </c>
      <c r="R792" s="7" t="s">
        <v>290</v>
      </c>
      <c r="S792" s="10" t="s">
        <v>3266</v>
      </c>
    </row>
    <row r="793" spans="1:19" ht="81" x14ac:dyDescent="0.25">
      <c r="A793" s="17" t="s">
        <v>3267</v>
      </c>
      <c r="B793" s="7" t="s">
        <v>3268</v>
      </c>
      <c r="C793" s="7" t="s">
        <v>460</v>
      </c>
      <c r="D793" s="7" t="s">
        <v>3269</v>
      </c>
      <c r="E793" s="7" t="s">
        <v>643</v>
      </c>
      <c r="F793" s="7" t="s">
        <v>25</v>
      </c>
      <c r="G793" s="7" t="s">
        <v>25</v>
      </c>
      <c r="H793" s="8">
        <v>3000</v>
      </c>
      <c r="I793" s="7"/>
      <c r="J793" s="7"/>
      <c r="K793" s="7"/>
      <c r="L793" s="8"/>
      <c r="M793" s="8"/>
      <c r="N793" s="7"/>
      <c r="O793" s="7"/>
      <c r="P793" s="7" t="s">
        <v>87</v>
      </c>
      <c r="Q793" s="9">
        <v>46126</v>
      </c>
      <c r="R793" s="7" t="s">
        <v>290</v>
      </c>
      <c r="S793" s="10" t="s">
        <v>3270</v>
      </c>
    </row>
    <row r="794" spans="1:19" ht="81" x14ac:dyDescent="0.25">
      <c r="A794" s="17" t="s">
        <v>3271</v>
      </c>
      <c r="B794" s="7" t="s">
        <v>3272</v>
      </c>
      <c r="C794" s="7" t="s">
        <v>411</v>
      </c>
      <c r="D794" s="7" t="s">
        <v>3273</v>
      </c>
      <c r="E794" s="7" t="s">
        <v>361</v>
      </c>
      <c r="F794" s="7" t="s">
        <v>25</v>
      </c>
      <c r="G794" s="7" t="s">
        <v>25</v>
      </c>
      <c r="H794" s="8">
        <v>1000</v>
      </c>
      <c r="I794" s="7"/>
      <c r="J794" s="7"/>
      <c r="K794" s="7"/>
      <c r="L794" s="8"/>
      <c r="M794" s="8"/>
      <c r="N794" s="7"/>
      <c r="O794" s="7"/>
      <c r="P794" s="7" t="s">
        <v>87</v>
      </c>
      <c r="Q794" s="9">
        <v>46172</v>
      </c>
      <c r="R794" s="7" t="s">
        <v>290</v>
      </c>
      <c r="S794" s="10" t="s">
        <v>3274</v>
      </c>
    </row>
    <row r="795" spans="1:19" ht="81" x14ac:dyDescent="0.25">
      <c r="A795" s="17" t="s">
        <v>3275</v>
      </c>
      <c r="B795" s="7" t="s">
        <v>3276</v>
      </c>
      <c r="C795" s="7" t="s">
        <v>460</v>
      </c>
      <c r="D795" s="7" t="s">
        <v>3277</v>
      </c>
      <c r="E795" s="7" t="s">
        <v>361</v>
      </c>
      <c r="F795" s="7" t="s">
        <v>25</v>
      </c>
      <c r="G795" s="7" t="s">
        <v>25</v>
      </c>
      <c r="H795" s="8">
        <v>1000</v>
      </c>
      <c r="I795" s="7"/>
      <c r="J795" s="7"/>
      <c r="K795" s="7"/>
      <c r="L795" s="8"/>
      <c r="M795" s="8"/>
      <c r="N795" s="7"/>
      <c r="O795" s="7"/>
      <c r="P795" s="7" t="s">
        <v>87</v>
      </c>
      <c r="Q795" s="9">
        <v>46076</v>
      </c>
      <c r="R795" s="7" t="s">
        <v>290</v>
      </c>
      <c r="S795" s="10" t="s">
        <v>3278</v>
      </c>
    </row>
    <row r="796" spans="1:19" ht="81" x14ac:dyDescent="0.25">
      <c r="A796" s="17" t="s">
        <v>3279</v>
      </c>
      <c r="B796" s="7" t="s">
        <v>3280</v>
      </c>
      <c r="C796" s="7" t="s">
        <v>2312</v>
      </c>
      <c r="D796" s="7" t="s">
        <v>3281</v>
      </c>
      <c r="E796" s="7" t="s">
        <v>776</v>
      </c>
      <c r="F796" s="7" t="s">
        <v>289</v>
      </c>
      <c r="G796" s="7" t="s">
        <v>289</v>
      </c>
      <c r="H796" s="8">
        <v>1</v>
      </c>
      <c r="I796" s="7"/>
      <c r="J796" s="7"/>
      <c r="K796" s="7"/>
      <c r="L796" s="8"/>
      <c r="M796" s="8"/>
      <c r="N796" s="7"/>
      <c r="O796" s="7"/>
      <c r="P796" s="7" t="s">
        <v>87</v>
      </c>
      <c r="Q796" s="9">
        <v>46094</v>
      </c>
      <c r="R796" s="7" t="s">
        <v>290</v>
      </c>
      <c r="S796" s="10" t="s">
        <v>3282</v>
      </c>
    </row>
    <row r="797" spans="1:19" ht="81" x14ac:dyDescent="0.25">
      <c r="A797" s="17" t="s">
        <v>3283</v>
      </c>
      <c r="B797" s="7" t="s">
        <v>3284</v>
      </c>
      <c r="C797" s="7" t="s">
        <v>2312</v>
      </c>
      <c r="D797" s="7" t="s">
        <v>3285</v>
      </c>
      <c r="E797" s="7" t="s">
        <v>776</v>
      </c>
      <c r="F797" s="7" t="s">
        <v>289</v>
      </c>
      <c r="G797" s="7" t="s">
        <v>289</v>
      </c>
      <c r="H797" s="8">
        <v>1</v>
      </c>
      <c r="I797" s="7"/>
      <c r="J797" s="7"/>
      <c r="K797" s="7"/>
      <c r="L797" s="8"/>
      <c r="M797" s="8"/>
      <c r="N797" s="7"/>
      <c r="O797" s="7"/>
      <c r="P797" s="7" t="s">
        <v>87</v>
      </c>
      <c r="Q797" s="9">
        <v>46172</v>
      </c>
      <c r="R797" s="7" t="s">
        <v>290</v>
      </c>
      <c r="S797" s="10" t="s">
        <v>3286</v>
      </c>
    </row>
    <row r="798" spans="1:19" ht="40.5" x14ac:dyDescent="0.25">
      <c r="A798" s="17" t="s">
        <v>3287</v>
      </c>
      <c r="B798" s="7" t="s">
        <v>3288</v>
      </c>
      <c r="C798" s="7" t="s">
        <v>2294</v>
      </c>
      <c r="D798" s="7"/>
      <c r="E798" s="7"/>
      <c r="F798" s="7" t="s">
        <v>289</v>
      </c>
      <c r="G798" s="7" t="s">
        <v>289</v>
      </c>
      <c r="H798" s="8"/>
      <c r="I798" s="7"/>
      <c r="J798" s="7"/>
      <c r="K798" s="7"/>
      <c r="L798" s="8"/>
      <c r="M798" s="8"/>
      <c r="N798" s="7"/>
      <c r="O798" s="7"/>
      <c r="P798" s="7" t="s">
        <v>87</v>
      </c>
      <c r="Q798" s="9">
        <v>46177</v>
      </c>
      <c r="R798" s="7" t="s">
        <v>290</v>
      </c>
      <c r="S798" s="10" t="s">
        <v>3289</v>
      </c>
    </row>
    <row r="799" spans="1:19" ht="40.5" x14ac:dyDescent="0.25">
      <c r="A799" s="17" t="s">
        <v>3290</v>
      </c>
      <c r="B799" s="7" t="s">
        <v>3291</v>
      </c>
      <c r="C799" s="7" t="s">
        <v>2294</v>
      </c>
      <c r="D799" s="7"/>
      <c r="E799" s="7"/>
      <c r="F799" s="7" t="s">
        <v>289</v>
      </c>
      <c r="G799" s="7" t="s">
        <v>289</v>
      </c>
      <c r="H799" s="8"/>
      <c r="I799" s="7"/>
      <c r="J799" s="7"/>
      <c r="K799" s="7"/>
      <c r="L799" s="8"/>
      <c r="M799" s="8"/>
      <c r="N799" s="7"/>
      <c r="O799" s="7"/>
      <c r="P799" s="7" t="s">
        <v>87</v>
      </c>
      <c r="Q799" s="9">
        <v>46230</v>
      </c>
      <c r="R799" s="7" t="s">
        <v>290</v>
      </c>
      <c r="S799" s="10" t="s">
        <v>3292</v>
      </c>
    </row>
    <row r="800" spans="1:19" ht="40.5" x14ac:dyDescent="0.25">
      <c r="A800" s="17" t="s">
        <v>3293</v>
      </c>
      <c r="B800" s="7" t="s">
        <v>3294</v>
      </c>
      <c r="C800" s="7" t="s">
        <v>2294</v>
      </c>
      <c r="D800" s="7"/>
      <c r="E800" s="7"/>
      <c r="F800" s="7" t="s">
        <v>289</v>
      </c>
      <c r="G800" s="7" t="s">
        <v>289</v>
      </c>
      <c r="H800" s="8"/>
      <c r="I800" s="7"/>
      <c r="J800" s="7"/>
      <c r="K800" s="7"/>
      <c r="L800" s="8"/>
      <c r="M800" s="8"/>
      <c r="N800" s="7"/>
      <c r="O800" s="7"/>
      <c r="P800" s="7" t="s">
        <v>87</v>
      </c>
      <c r="Q800" s="9">
        <v>46192</v>
      </c>
      <c r="R800" s="7" t="s">
        <v>290</v>
      </c>
      <c r="S800" s="10" t="s">
        <v>3295</v>
      </c>
    </row>
    <row r="801" spans="1:19" ht="40.5" x14ac:dyDescent="0.25">
      <c r="A801" s="17" t="s">
        <v>3296</v>
      </c>
      <c r="B801" s="7" t="s">
        <v>3297</v>
      </c>
      <c r="C801" s="7" t="s">
        <v>288</v>
      </c>
      <c r="D801" s="7"/>
      <c r="E801" s="7"/>
      <c r="F801" s="7" t="s">
        <v>289</v>
      </c>
      <c r="G801" s="7" t="s">
        <v>289</v>
      </c>
      <c r="H801" s="8"/>
      <c r="I801" s="7"/>
      <c r="J801" s="7"/>
      <c r="K801" s="7"/>
      <c r="L801" s="8"/>
      <c r="M801" s="8"/>
      <c r="N801" s="7"/>
      <c r="O801" s="7"/>
      <c r="P801" s="7" t="s">
        <v>87</v>
      </c>
      <c r="Q801" s="9">
        <v>46172</v>
      </c>
      <c r="R801" s="7" t="s">
        <v>290</v>
      </c>
      <c r="S801" s="10" t="s">
        <v>3298</v>
      </c>
    </row>
    <row r="802" spans="1:19" ht="27" x14ac:dyDescent="0.25">
      <c r="A802" s="17" t="s">
        <v>3299</v>
      </c>
      <c r="B802" s="7" t="s">
        <v>3300</v>
      </c>
      <c r="C802" s="7" t="s">
        <v>348</v>
      </c>
      <c r="D802" s="7"/>
      <c r="E802" s="7"/>
      <c r="F802" s="7" t="s">
        <v>289</v>
      </c>
      <c r="G802" s="7" t="s">
        <v>289</v>
      </c>
      <c r="H802" s="8"/>
      <c r="I802" s="7"/>
      <c r="J802" s="7"/>
      <c r="K802" s="7"/>
      <c r="L802" s="8"/>
      <c r="M802" s="8"/>
      <c r="N802" s="7"/>
      <c r="O802" s="7"/>
      <c r="P802" s="7" t="s">
        <v>87</v>
      </c>
      <c r="Q802" s="9">
        <v>46184</v>
      </c>
      <c r="R802" s="7" t="s">
        <v>290</v>
      </c>
      <c r="S802" s="10" t="s">
        <v>3301</v>
      </c>
    </row>
    <row r="803" spans="1:19" ht="40.5" x14ac:dyDescent="0.25">
      <c r="A803" s="17" t="s">
        <v>3302</v>
      </c>
      <c r="B803" s="7" t="s">
        <v>3303</v>
      </c>
      <c r="C803" s="7" t="s">
        <v>1480</v>
      </c>
      <c r="D803" s="7"/>
      <c r="E803" s="7"/>
      <c r="F803" s="7" t="s">
        <v>289</v>
      </c>
      <c r="G803" s="7" t="s">
        <v>289</v>
      </c>
      <c r="H803" s="8"/>
      <c r="I803" s="7"/>
      <c r="J803" s="7"/>
      <c r="K803" s="7"/>
      <c r="L803" s="8"/>
      <c r="M803" s="8"/>
      <c r="N803" s="7"/>
      <c r="O803" s="7"/>
      <c r="P803" s="7" t="s">
        <v>87</v>
      </c>
      <c r="Q803" s="9">
        <v>46097</v>
      </c>
      <c r="R803" s="7" t="s">
        <v>290</v>
      </c>
      <c r="S803" s="10" t="s">
        <v>3304</v>
      </c>
    </row>
    <row r="804" spans="1:19" ht="27" x14ac:dyDescent="0.25">
      <c r="A804" s="17" t="s">
        <v>3305</v>
      </c>
      <c r="B804" s="7" t="s">
        <v>3306</v>
      </c>
      <c r="C804" s="7" t="s">
        <v>348</v>
      </c>
      <c r="D804" s="7"/>
      <c r="E804" s="7"/>
      <c r="F804" s="7" t="s">
        <v>289</v>
      </c>
      <c r="G804" s="7" t="s">
        <v>289</v>
      </c>
      <c r="H804" s="8"/>
      <c r="I804" s="7"/>
      <c r="J804" s="7"/>
      <c r="K804" s="7"/>
      <c r="L804" s="8"/>
      <c r="M804" s="8"/>
      <c r="N804" s="7"/>
      <c r="O804" s="7"/>
      <c r="P804" s="7" t="s">
        <v>87</v>
      </c>
      <c r="Q804" s="9">
        <v>46184</v>
      </c>
      <c r="R804" s="7" t="s">
        <v>290</v>
      </c>
      <c r="S804" s="10" t="s">
        <v>3307</v>
      </c>
    </row>
    <row r="805" spans="1:19" ht="40.5" x14ac:dyDescent="0.25">
      <c r="A805" s="17" t="s">
        <v>3308</v>
      </c>
      <c r="B805" s="7" t="s">
        <v>3309</v>
      </c>
      <c r="C805" s="7" t="s">
        <v>1480</v>
      </c>
      <c r="D805" s="7"/>
      <c r="E805" s="7"/>
      <c r="F805" s="7" t="s">
        <v>289</v>
      </c>
      <c r="G805" s="7" t="s">
        <v>289</v>
      </c>
      <c r="H805" s="8"/>
      <c r="I805" s="7"/>
      <c r="J805" s="7"/>
      <c r="K805" s="7"/>
      <c r="L805" s="8"/>
      <c r="M805" s="8"/>
      <c r="N805" s="7"/>
      <c r="O805" s="7"/>
      <c r="P805" s="7" t="s">
        <v>87</v>
      </c>
      <c r="Q805" s="9">
        <v>46097</v>
      </c>
      <c r="R805" s="7" t="s">
        <v>290</v>
      </c>
      <c r="S805" s="10" t="s">
        <v>3310</v>
      </c>
    </row>
    <row r="806" spans="1:19" ht="81" x14ac:dyDescent="0.25">
      <c r="A806" s="17" t="s">
        <v>3311</v>
      </c>
      <c r="B806" s="7" t="s">
        <v>3312</v>
      </c>
      <c r="C806" s="7" t="s">
        <v>388</v>
      </c>
      <c r="D806" s="7" t="s">
        <v>3313</v>
      </c>
      <c r="E806" s="7" t="s">
        <v>1699</v>
      </c>
      <c r="F806" s="7" t="s">
        <v>289</v>
      </c>
      <c r="G806" s="7" t="s">
        <v>289</v>
      </c>
      <c r="H806" s="8">
        <v>100</v>
      </c>
      <c r="I806" s="7"/>
      <c r="J806" s="7"/>
      <c r="K806" s="7"/>
      <c r="L806" s="8"/>
      <c r="M806" s="8"/>
      <c r="N806" s="7"/>
      <c r="O806" s="7"/>
      <c r="P806" s="7" t="s">
        <v>87</v>
      </c>
      <c r="Q806" s="9">
        <v>46103</v>
      </c>
      <c r="R806" s="7" t="s">
        <v>290</v>
      </c>
      <c r="S806" s="10" t="s">
        <v>3314</v>
      </c>
    </row>
    <row r="807" spans="1:19" ht="67.5" x14ac:dyDescent="0.25">
      <c r="A807" s="17" t="s">
        <v>3315</v>
      </c>
      <c r="B807" s="7" t="s">
        <v>3316</v>
      </c>
      <c r="C807" s="7" t="s">
        <v>348</v>
      </c>
      <c r="D807" s="7" t="s">
        <v>3317</v>
      </c>
      <c r="E807" s="7" t="s">
        <v>1002</v>
      </c>
      <c r="F807" s="7" t="s">
        <v>289</v>
      </c>
      <c r="G807" s="7" t="s">
        <v>289</v>
      </c>
      <c r="H807" s="8">
        <v>24</v>
      </c>
      <c r="I807" s="7"/>
      <c r="J807" s="7"/>
      <c r="K807" s="7"/>
      <c r="L807" s="8"/>
      <c r="M807" s="8"/>
      <c r="N807" s="7"/>
      <c r="O807" s="7"/>
      <c r="P807" s="7" t="s">
        <v>87</v>
      </c>
      <c r="Q807" s="9">
        <v>46078</v>
      </c>
      <c r="R807" s="7" t="s">
        <v>290</v>
      </c>
      <c r="S807" s="10" t="s">
        <v>3318</v>
      </c>
    </row>
    <row r="808" spans="1:19" ht="27" x14ac:dyDescent="0.25">
      <c r="A808" s="17" t="s">
        <v>3319</v>
      </c>
      <c r="B808" s="7" t="s">
        <v>3320</v>
      </c>
      <c r="C808" s="7" t="s">
        <v>692</v>
      </c>
      <c r="D808" s="7"/>
      <c r="E808" s="7"/>
      <c r="F808" s="7" t="s">
        <v>289</v>
      </c>
      <c r="G808" s="7" t="s">
        <v>289</v>
      </c>
      <c r="H808" s="8"/>
      <c r="I808" s="7"/>
      <c r="J808" s="7"/>
      <c r="K808" s="7"/>
      <c r="L808" s="8"/>
      <c r="M808" s="8"/>
      <c r="N808" s="7"/>
      <c r="O808" s="7"/>
      <c r="P808" s="7" t="s">
        <v>87</v>
      </c>
      <c r="Q808" s="9">
        <v>46165</v>
      </c>
      <c r="R808" s="7" t="s">
        <v>290</v>
      </c>
      <c r="S808" s="10" t="s">
        <v>3321</v>
      </c>
    </row>
    <row r="809" spans="1:19" ht="27" x14ac:dyDescent="0.25">
      <c r="A809" s="17" t="s">
        <v>3322</v>
      </c>
      <c r="B809" s="7" t="s">
        <v>3323</v>
      </c>
      <c r="C809" s="7" t="s">
        <v>348</v>
      </c>
      <c r="D809" s="7"/>
      <c r="E809" s="7"/>
      <c r="F809" s="7" t="s">
        <v>289</v>
      </c>
      <c r="G809" s="7" t="s">
        <v>289</v>
      </c>
      <c r="H809" s="8"/>
      <c r="I809" s="7"/>
      <c r="J809" s="7"/>
      <c r="K809" s="7"/>
      <c r="L809" s="8"/>
      <c r="M809" s="8"/>
      <c r="N809" s="7"/>
      <c r="O809" s="7"/>
      <c r="P809" s="7" t="s">
        <v>87</v>
      </c>
      <c r="Q809" s="9">
        <v>46184</v>
      </c>
      <c r="R809" s="7" t="s">
        <v>290</v>
      </c>
      <c r="S809" s="10" t="s">
        <v>3324</v>
      </c>
    </row>
    <row r="810" spans="1:19" ht="27" x14ac:dyDescent="0.25">
      <c r="A810" s="17" t="s">
        <v>3325</v>
      </c>
      <c r="B810" s="7" t="s">
        <v>3326</v>
      </c>
      <c r="C810" s="7" t="s">
        <v>348</v>
      </c>
      <c r="D810" s="7"/>
      <c r="E810" s="7"/>
      <c r="F810" s="7" t="s">
        <v>289</v>
      </c>
      <c r="G810" s="7" t="s">
        <v>289</v>
      </c>
      <c r="H810" s="8"/>
      <c r="I810" s="7"/>
      <c r="J810" s="7"/>
      <c r="K810" s="7"/>
      <c r="L810" s="8"/>
      <c r="M810" s="8"/>
      <c r="N810" s="7"/>
      <c r="O810" s="7"/>
      <c r="P810" s="7" t="s">
        <v>87</v>
      </c>
      <c r="Q810" s="9">
        <v>46184</v>
      </c>
      <c r="R810" s="7" t="s">
        <v>290</v>
      </c>
      <c r="S810" s="10" t="s">
        <v>3327</v>
      </c>
    </row>
    <row r="811" spans="1:19" ht="27" x14ac:dyDescent="0.25">
      <c r="A811" s="17" t="s">
        <v>3328</v>
      </c>
      <c r="B811" s="7" t="s">
        <v>3329</v>
      </c>
      <c r="C811" s="7" t="s">
        <v>348</v>
      </c>
      <c r="D811" s="7"/>
      <c r="E811" s="7"/>
      <c r="F811" s="7" t="s">
        <v>289</v>
      </c>
      <c r="G811" s="7" t="s">
        <v>289</v>
      </c>
      <c r="H811" s="8"/>
      <c r="I811" s="7"/>
      <c r="J811" s="7"/>
      <c r="K811" s="7"/>
      <c r="L811" s="8"/>
      <c r="M811" s="8"/>
      <c r="N811" s="7"/>
      <c r="O811" s="7"/>
      <c r="P811" s="7" t="s">
        <v>87</v>
      </c>
      <c r="Q811" s="9">
        <v>46184</v>
      </c>
      <c r="R811" s="7" t="s">
        <v>290</v>
      </c>
      <c r="S811" s="10" t="s">
        <v>3330</v>
      </c>
    </row>
    <row r="812" spans="1:19" ht="27" x14ac:dyDescent="0.25">
      <c r="A812" s="17" t="s">
        <v>3331</v>
      </c>
      <c r="B812" s="7" t="s">
        <v>3332</v>
      </c>
      <c r="C812" s="7" t="s">
        <v>348</v>
      </c>
      <c r="D812" s="7"/>
      <c r="E812" s="7"/>
      <c r="F812" s="7" t="s">
        <v>289</v>
      </c>
      <c r="G812" s="7" t="s">
        <v>289</v>
      </c>
      <c r="H812" s="8"/>
      <c r="I812" s="7"/>
      <c r="J812" s="7"/>
      <c r="K812" s="7"/>
      <c r="L812" s="8"/>
      <c r="M812" s="8"/>
      <c r="N812" s="7"/>
      <c r="O812" s="7"/>
      <c r="P812" s="7" t="s">
        <v>87</v>
      </c>
      <c r="Q812" s="9">
        <v>46184</v>
      </c>
      <c r="R812" s="7" t="s">
        <v>290</v>
      </c>
      <c r="S812" s="10" t="s">
        <v>3333</v>
      </c>
    </row>
    <row r="813" spans="1:19" ht="67.5" x14ac:dyDescent="0.25">
      <c r="A813" s="17" t="s">
        <v>3334</v>
      </c>
      <c r="B813" s="7" t="s">
        <v>3335</v>
      </c>
      <c r="C813" s="7" t="s">
        <v>348</v>
      </c>
      <c r="D813" s="7" t="s">
        <v>3336</v>
      </c>
      <c r="E813" s="7" t="s">
        <v>1002</v>
      </c>
      <c r="F813" s="7" t="s">
        <v>289</v>
      </c>
      <c r="G813" s="7" t="s">
        <v>289</v>
      </c>
      <c r="H813" s="8">
        <v>24</v>
      </c>
      <c r="I813" s="7"/>
      <c r="J813" s="7"/>
      <c r="K813" s="7"/>
      <c r="L813" s="8"/>
      <c r="M813" s="8"/>
      <c r="N813" s="7"/>
      <c r="O813" s="7"/>
      <c r="P813" s="7" t="s">
        <v>87</v>
      </c>
      <c r="Q813" s="9">
        <v>46071</v>
      </c>
      <c r="R813" s="7" t="s">
        <v>290</v>
      </c>
      <c r="S813" s="10" t="s">
        <v>3337</v>
      </c>
    </row>
    <row r="814" spans="1:19" ht="67.5" x14ac:dyDescent="0.25">
      <c r="A814" s="17" t="s">
        <v>3338</v>
      </c>
      <c r="B814" s="7" t="s">
        <v>3339</v>
      </c>
      <c r="C814" s="7" t="s">
        <v>348</v>
      </c>
      <c r="D814" s="7" t="s">
        <v>3340</v>
      </c>
      <c r="E814" s="7" t="s">
        <v>1002</v>
      </c>
      <c r="F814" s="7" t="s">
        <v>289</v>
      </c>
      <c r="G814" s="7" t="s">
        <v>289</v>
      </c>
      <c r="H814" s="8">
        <v>24</v>
      </c>
      <c r="I814" s="7"/>
      <c r="J814" s="7"/>
      <c r="K814" s="7"/>
      <c r="L814" s="8"/>
      <c r="M814" s="8"/>
      <c r="N814" s="7"/>
      <c r="O814" s="7"/>
      <c r="P814" s="7" t="s">
        <v>87</v>
      </c>
      <c r="Q814" s="9">
        <v>46071</v>
      </c>
      <c r="R814" s="7" t="s">
        <v>290</v>
      </c>
      <c r="S814" s="10" t="s">
        <v>3341</v>
      </c>
    </row>
    <row r="815" spans="1:19" ht="27" x14ac:dyDescent="0.25">
      <c r="A815" s="17" t="s">
        <v>3342</v>
      </c>
      <c r="B815" s="7" t="s">
        <v>3343</v>
      </c>
      <c r="C815" s="7" t="s">
        <v>348</v>
      </c>
      <c r="D815" s="7"/>
      <c r="E815" s="7"/>
      <c r="F815" s="7" t="s">
        <v>289</v>
      </c>
      <c r="G815" s="7" t="s">
        <v>289</v>
      </c>
      <c r="H815" s="8"/>
      <c r="I815" s="7"/>
      <c r="J815" s="7"/>
      <c r="K815" s="7"/>
      <c r="L815" s="8"/>
      <c r="M815" s="8"/>
      <c r="N815" s="7"/>
      <c r="O815" s="7"/>
      <c r="P815" s="7" t="s">
        <v>87</v>
      </c>
      <c r="Q815" s="9">
        <v>46184</v>
      </c>
      <c r="R815" s="7" t="s">
        <v>290</v>
      </c>
      <c r="S815" s="10" t="s">
        <v>3344</v>
      </c>
    </row>
    <row r="816" spans="1:19" ht="27" x14ac:dyDescent="0.25">
      <c r="A816" s="17" t="s">
        <v>3345</v>
      </c>
      <c r="B816" s="7" t="s">
        <v>3346</v>
      </c>
      <c r="C816" s="7" t="s">
        <v>680</v>
      </c>
      <c r="D816" s="7"/>
      <c r="E816" s="7"/>
      <c r="F816" s="7" t="s">
        <v>289</v>
      </c>
      <c r="G816" s="7" t="s">
        <v>289</v>
      </c>
      <c r="H816" s="8"/>
      <c r="I816" s="7"/>
      <c r="J816" s="7"/>
      <c r="K816" s="7"/>
      <c r="L816" s="8"/>
      <c r="M816" s="8"/>
      <c r="N816" s="7"/>
      <c r="O816" s="7"/>
      <c r="P816" s="7" t="s">
        <v>87</v>
      </c>
      <c r="Q816" s="9">
        <v>46185</v>
      </c>
      <c r="R816" s="7" t="s">
        <v>290</v>
      </c>
      <c r="S816" s="10" t="s">
        <v>3347</v>
      </c>
    </row>
    <row r="817" spans="1:19" ht="27" x14ac:dyDescent="0.25">
      <c r="A817" s="17" t="s">
        <v>3348</v>
      </c>
      <c r="B817" s="7" t="s">
        <v>3349</v>
      </c>
      <c r="C817" s="7" t="s">
        <v>3350</v>
      </c>
      <c r="D817" s="7"/>
      <c r="E817" s="7"/>
      <c r="F817" s="7" t="s">
        <v>289</v>
      </c>
      <c r="G817" s="7" t="s">
        <v>289</v>
      </c>
      <c r="H817" s="8"/>
      <c r="I817" s="7"/>
      <c r="J817" s="7"/>
      <c r="K817" s="7"/>
      <c r="L817" s="8"/>
      <c r="M817" s="8"/>
      <c r="N817" s="7"/>
      <c r="O817" s="7"/>
      <c r="P817" s="7" t="s">
        <v>87</v>
      </c>
      <c r="Q817" s="9">
        <v>46185</v>
      </c>
      <c r="R817" s="7" t="s">
        <v>290</v>
      </c>
      <c r="S817" s="10" t="s">
        <v>3351</v>
      </c>
    </row>
    <row r="818" spans="1:19" ht="27" x14ac:dyDescent="0.25">
      <c r="A818" s="17" t="s">
        <v>3352</v>
      </c>
      <c r="B818" s="7" t="s">
        <v>3353</v>
      </c>
      <c r="C818" s="7" t="s">
        <v>3350</v>
      </c>
      <c r="D818" s="7"/>
      <c r="E818" s="7"/>
      <c r="F818" s="7" t="s">
        <v>289</v>
      </c>
      <c r="G818" s="7" t="s">
        <v>289</v>
      </c>
      <c r="H818" s="8"/>
      <c r="I818" s="7"/>
      <c r="J818" s="7"/>
      <c r="K818" s="7"/>
      <c r="L818" s="8"/>
      <c r="M818" s="8"/>
      <c r="N818" s="7"/>
      <c r="O818" s="7"/>
      <c r="P818" s="7" t="s">
        <v>87</v>
      </c>
      <c r="Q818" s="9">
        <v>46185</v>
      </c>
      <c r="R818" s="7" t="s">
        <v>290</v>
      </c>
      <c r="S818" s="10" t="s">
        <v>3354</v>
      </c>
    </row>
    <row r="819" spans="1:19" ht="81" x14ac:dyDescent="0.25">
      <c r="A819" s="17" t="s">
        <v>3355</v>
      </c>
      <c r="B819" s="7" t="s">
        <v>3356</v>
      </c>
      <c r="C819" s="7" t="s">
        <v>539</v>
      </c>
      <c r="D819" s="7" t="s">
        <v>3357</v>
      </c>
      <c r="E819" s="7" t="s">
        <v>3358</v>
      </c>
      <c r="F819" s="7" t="s">
        <v>289</v>
      </c>
      <c r="G819" s="7" t="s">
        <v>289</v>
      </c>
      <c r="H819" s="8">
        <v>700</v>
      </c>
      <c r="I819" s="7"/>
      <c r="J819" s="7"/>
      <c r="K819" s="7"/>
      <c r="L819" s="8"/>
      <c r="M819" s="8"/>
      <c r="N819" s="7"/>
      <c r="O819" s="7"/>
      <c r="P819" s="7" t="s">
        <v>87</v>
      </c>
      <c r="Q819" s="9">
        <v>46094</v>
      </c>
      <c r="R819" s="7" t="s">
        <v>290</v>
      </c>
      <c r="S819" s="10" t="s">
        <v>3359</v>
      </c>
    </row>
    <row r="820" spans="1:19" ht="81" x14ac:dyDescent="0.25">
      <c r="A820" s="17" t="s">
        <v>3360</v>
      </c>
      <c r="B820" s="7" t="s">
        <v>3361</v>
      </c>
      <c r="C820" s="7" t="s">
        <v>714</v>
      </c>
      <c r="D820" s="7" t="s">
        <v>3362</v>
      </c>
      <c r="E820" s="7" t="s">
        <v>776</v>
      </c>
      <c r="F820" s="7" t="s">
        <v>289</v>
      </c>
      <c r="G820" s="7" t="s">
        <v>289</v>
      </c>
      <c r="H820" s="8">
        <v>1</v>
      </c>
      <c r="I820" s="7"/>
      <c r="J820" s="7"/>
      <c r="K820" s="7"/>
      <c r="L820" s="8"/>
      <c r="M820" s="8"/>
      <c r="N820" s="7"/>
      <c r="O820" s="7"/>
      <c r="P820" s="7" t="s">
        <v>87</v>
      </c>
      <c r="Q820" s="9">
        <v>46094</v>
      </c>
      <c r="R820" s="7" t="s">
        <v>290</v>
      </c>
      <c r="S820" s="10" t="s">
        <v>3363</v>
      </c>
    </row>
    <row r="821" spans="1:19" ht="81" x14ac:dyDescent="0.25">
      <c r="A821" s="17" t="s">
        <v>3364</v>
      </c>
      <c r="B821" s="7" t="s">
        <v>3365</v>
      </c>
      <c r="C821" s="7" t="s">
        <v>2260</v>
      </c>
      <c r="D821" s="7" t="s">
        <v>3366</v>
      </c>
      <c r="E821" s="7" t="s">
        <v>3367</v>
      </c>
      <c r="F821" s="7" t="s">
        <v>308</v>
      </c>
      <c r="G821" s="7" t="s">
        <v>308</v>
      </c>
      <c r="H821" s="8">
        <v>500</v>
      </c>
      <c r="I821" s="7"/>
      <c r="J821" s="7"/>
      <c r="K821" s="7"/>
      <c r="L821" s="8"/>
      <c r="M821" s="8"/>
      <c r="N821" s="7"/>
      <c r="O821" s="7"/>
      <c r="P821" s="7" t="s">
        <v>87</v>
      </c>
      <c r="Q821" s="9">
        <v>46097</v>
      </c>
      <c r="R821" s="7" t="s">
        <v>290</v>
      </c>
      <c r="S821" s="10" t="s">
        <v>3368</v>
      </c>
    </row>
    <row r="822" spans="1:19" ht="81" x14ac:dyDescent="0.25">
      <c r="A822" s="17" t="s">
        <v>3369</v>
      </c>
      <c r="B822" s="7" t="s">
        <v>3370</v>
      </c>
      <c r="C822" s="7" t="s">
        <v>2312</v>
      </c>
      <c r="D822" s="7" t="s">
        <v>3371</v>
      </c>
      <c r="E822" s="7" t="s">
        <v>612</v>
      </c>
      <c r="F822" s="7" t="s">
        <v>289</v>
      </c>
      <c r="G822" s="7" t="s">
        <v>289</v>
      </c>
      <c r="H822" s="8">
        <v>100</v>
      </c>
      <c r="I822" s="7"/>
      <c r="J822" s="7"/>
      <c r="K822" s="7"/>
      <c r="L822" s="8"/>
      <c r="M822" s="8"/>
      <c r="N822" s="7"/>
      <c r="O822" s="7"/>
      <c r="P822" s="7" t="s">
        <v>87</v>
      </c>
      <c r="Q822" s="9">
        <v>46126</v>
      </c>
      <c r="R822" s="7" t="s">
        <v>290</v>
      </c>
      <c r="S822" s="10" t="s">
        <v>3372</v>
      </c>
    </row>
    <row r="823" spans="1:19" ht="81" x14ac:dyDescent="0.25">
      <c r="A823" s="17" t="s">
        <v>3373</v>
      </c>
      <c r="B823" s="7" t="s">
        <v>3374</v>
      </c>
      <c r="C823" s="7" t="s">
        <v>1248</v>
      </c>
      <c r="D823" s="7" t="s">
        <v>3375</v>
      </c>
      <c r="E823" s="7" t="s">
        <v>3376</v>
      </c>
      <c r="F823" s="7" t="s">
        <v>25</v>
      </c>
      <c r="G823" s="7" t="s">
        <v>25</v>
      </c>
      <c r="H823" s="8">
        <v>200</v>
      </c>
      <c r="I823" s="7"/>
      <c r="J823" s="7"/>
      <c r="K823" s="7"/>
      <c r="L823" s="8"/>
      <c r="M823" s="8"/>
      <c r="N823" s="7"/>
      <c r="O823" s="7"/>
      <c r="P823" s="7" t="s">
        <v>87</v>
      </c>
      <c r="Q823" s="9">
        <v>46097</v>
      </c>
      <c r="R823" s="7" t="s">
        <v>290</v>
      </c>
      <c r="S823" s="10" t="s">
        <v>3377</v>
      </c>
    </row>
    <row r="824" spans="1:19" ht="40.5" x14ac:dyDescent="0.25">
      <c r="A824" s="17" t="s">
        <v>3378</v>
      </c>
      <c r="B824" s="7" t="s">
        <v>3379</v>
      </c>
      <c r="C824" s="7" t="s">
        <v>2213</v>
      </c>
      <c r="D824" s="7"/>
      <c r="E824" s="7"/>
      <c r="F824" s="7" t="s">
        <v>289</v>
      </c>
      <c r="G824" s="7" t="s">
        <v>289</v>
      </c>
      <c r="H824" s="8"/>
      <c r="I824" s="7"/>
      <c r="J824" s="7"/>
      <c r="K824" s="7"/>
      <c r="L824" s="8"/>
      <c r="M824" s="8"/>
      <c r="N824" s="7"/>
      <c r="O824" s="7"/>
      <c r="P824" s="7" t="s">
        <v>87</v>
      </c>
      <c r="Q824" s="9">
        <v>46091</v>
      </c>
      <c r="R824" s="7" t="s">
        <v>290</v>
      </c>
      <c r="S824" s="10" t="s">
        <v>3380</v>
      </c>
    </row>
    <row r="825" spans="1:19" ht="40.5" x14ac:dyDescent="0.25">
      <c r="A825" s="17" t="s">
        <v>3381</v>
      </c>
      <c r="B825" s="7" t="s">
        <v>3382</v>
      </c>
      <c r="C825" s="7" t="s">
        <v>2482</v>
      </c>
      <c r="D825" s="7"/>
      <c r="E825" s="7"/>
      <c r="F825" s="7" t="s">
        <v>289</v>
      </c>
      <c r="G825" s="7" t="s">
        <v>289</v>
      </c>
      <c r="H825" s="8"/>
      <c r="I825" s="7"/>
      <c r="J825" s="7"/>
      <c r="K825" s="7"/>
      <c r="L825" s="8"/>
      <c r="M825" s="8"/>
      <c r="N825" s="7"/>
      <c r="O825" s="7"/>
      <c r="P825" s="7" t="s">
        <v>87</v>
      </c>
      <c r="Q825" s="9">
        <v>46091</v>
      </c>
      <c r="R825" s="7" t="s">
        <v>290</v>
      </c>
      <c r="S825" s="10" t="s">
        <v>3383</v>
      </c>
    </row>
    <row r="826" spans="1:19" ht="27" x14ac:dyDescent="0.25">
      <c r="A826" s="17" t="s">
        <v>3384</v>
      </c>
      <c r="B826" s="7" t="s">
        <v>3385</v>
      </c>
      <c r="C826" s="7" t="s">
        <v>701</v>
      </c>
      <c r="D826" s="7"/>
      <c r="E826" s="7"/>
      <c r="F826" s="7" t="s">
        <v>289</v>
      </c>
      <c r="G826" s="7" t="s">
        <v>289</v>
      </c>
      <c r="H826" s="8"/>
      <c r="I826" s="7"/>
      <c r="J826" s="7"/>
      <c r="K826" s="7"/>
      <c r="L826" s="8"/>
      <c r="M826" s="8"/>
      <c r="N826" s="7"/>
      <c r="O826" s="7"/>
      <c r="P826" s="7" t="s">
        <v>87</v>
      </c>
      <c r="Q826" s="9">
        <v>46185</v>
      </c>
      <c r="R826" s="7" t="s">
        <v>290</v>
      </c>
      <c r="S826" s="10" t="s">
        <v>3386</v>
      </c>
    </row>
    <row r="827" spans="1:19" ht="40.5" x14ac:dyDescent="0.25">
      <c r="A827" s="17" t="s">
        <v>3387</v>
      </c>
      <c r="B827" s="7" t="s">
        <v>3388</v>
      </c>
      <c r="C827" s="7" t="s">
        <v>1236</v>
      </c>
      <c r="D827" s="7"/>
      <c r="E827" s="7"/>
      <c r="F827" s="7" t="s">
        <v>289</v>
      </c>
      <c r="G827" s="7" t="s">
        <v>289</v>
      </c>
      <c r="H827" s="8"/>
      <c r="I827" s="7"/>
      <c r="J827" s="7"/>
      <c r="K827" s="7"/>
      <c r="L827" s="8"/>
      <c r="M827" s="8"/>
      <c r="N827" s="7"/>
      <c r="O827" s="7"/>
      <c r="P827" s="7" t="s">
        <v>87</v>
      </c>
      <c r="Q827" s="9">
        <v>46097</v>
      </c>
      <c r="R827" s="7" t="s">
        <v>290</v>
      </c>
      <c r="S827" s="10" t="s">
        <v>3389</v>
      </c>
    </row>
    <row r="828" spans="1:19" ht="27" x14ac:dyDescent="0.25">
      <c r="A828" s="17" t="s">
        <v>3390</v>
      </c>
      <c r="B828" s="7" t="s">
        <v>3391</v>
      </c>
      <c r="C828" s="7" t="s">
        <v>338</v>
      </c>
      <c r="D828" s="7"/>
      <c r="E828" s="7"/>
      <c r="F828" s="7" t="s">
        <v>289</v>
      </c>
      <c r="G828" s="7" t="s">
        <v>289</v>
      </c>
      <c r="H828" s="8"/>
      <c r="I828" s="7"/>
      <c r="J828" s="7"/>
      <c r="K828" s="7"/>
      <c r="L828" s="8"/>
      <c r="M828" s="8"/>
      <c r="N828" s="7"/>
      <c r="O828" s="7"/>
      <c r="P828" s="7" t="s">
        <v>87</v>
      </c>
      <c r="Q828" s="9">
        <v>46185</v>
      </c>
      <c r="R828" s="7" t="s">
        <v>290</v>
      </c>
      <c r="S828" s="10" t="s">
        <v>3392</v>
      </c>
    </row>
    <row r="829" spans="1:19" ht="81" x14ac:dyDescent="0.25">
      <c r="A829" s="17" t="s">
        <v>3393</v>
      </c>
      <c r="B829" s="7" t="s">
        <v>3394</v>
      </c>
      <c r="C829" s="7" t="s">
        <v>2322</v>
      </c>
      <c r="D829" s="7" t="s">
        <v>3395</v>
      </c>
      <c r="E829" s="7" t="s">
        <v>1366</v>
      </c>
      <c r="F829" s="7" t="s">
        <v>308</v>
      </c>
      <c r="G829" s="7" t="s">
        <v>308</v>
      </c>
      <c r="H829" s="8">
        <v>1000</v>
      </c>
      <c r="I829" s="7"/>
      <c r="J829" s="7"/>
      <c r="K829" s="7"/>
      <c r="L829" s="8"/>
      <c r="M829" s="8"/>
      <c r="N829" s="7"/>
      <c r="O829" s="7"/>
      <c r="P829" s="7" t="s">
        <v>87</v>
      </c>
      <c r="Q829" s="9">
        <v>46097</v>
      </c>
      <c r="R829" s="7" t="s">
        <v>290</v>
      </c>
      <c r="S829" s="10" t="s">
        <v>3396</v>
      </c>
    </row>
    <row r="830" spans="1:19" ht="81" x14ac:dyDescent="0.25">
      <c r="A830" s="17" t="s">
        <v>3397</v>
      </c>
      <c r="B830" s="7" t="s">
        <v>3398</v>
      </c>
      <c r="C830" s="7" t="s">
        <v>2322</v>
      </c>
      <c r="D830" s="7" t="s">
        <v>3399</v>
      </c>
      <c r="E830" s="7" t="s">
        <v>1366</v>
      </c>
      <c r="F830" s="7" t="s">
        <v>308</v>
      </c>
      <c r="G830" s="7" t="s">
        <v>308</v>
      </c>
      <c r="H830" s="8">
        <v>1000</v>
      </c>
      <c r="I830" s="7"/>
      <c r="J830" s="7"/>
      <c r="K830" s="7"/>
      <c r="L830" s="8"/>
      <c r="M830" s="8"/>
      <c r="N830" s="7"/>
      <c r="O830" s="7"/>
      <c r="P830" s="7" t="s">
        <v>87</v>
      </c>
      <c r="Q830" s="9">
        <v>46094</v>
      </c>
      <c r="R830" s="7" t="s">
        <v>290</v>
      </c>
      <c r="S830" s="10" t="s">
        <v>3400</v>
      </c>
    </row>
    <row r="831" spans="1:19" ht="81" x14ac:dyDescent="0.25">
      <c r="A831" s="17" t="s">
        <v>3401</v>
      </c>
      <c r="B831" s="7" t="s">
        <v>3402</v>
      </c>
      <c r="C831" s="7" t="s">
        <v>2322</v>
      </c>
      <c r="D831" s="7" t="s">
        <v>3403</v>
      </c>
      <c r="E831" s="7" t="s">
        <v>1366</v>
      </c>
      <c r="F831" s="7" t="s">
        <v>308</v>
      </c>
      <c r="G831" s="7" t="s">
        <v>308</v>
      </c>
      <c r="H831" s="8">
        <v>1000</v>
      </c>
      <c r="I831" s="7"/>
      <c r="J831" s="7"/>
      <c r="K831" s="7"/>
      <c r="L831" s="8"/>
      <c r="M831" s="8"/>
      <c r="N831" s="7"/>
      <c r="O831" s="7"/>
      <c r="P831" s="7" t="s">
        <v>87</v>
      </c>
      <c r="Q831" s="9">
        <v>46094</v>
      </c>
      <c r="R831" s="7" t="s">
        <v>290</v>
      </c>
      <c r="S831" s="10" t="s">
        <v>3404</v>
      </c>
    </row>
    <row r="832" spans="1:19" ht="81" x14ac:dyDescent="0.25">
      <c r="A832" s="17" t="s">
        <v>3405</v>
      </c>
      <c r="B832" s="7" t="s">
        <v>3406</v>
      </c>
      <c r="C832" s="7" t="s">
        <v>2322</v>
      </c>
      <c r="D832" s="7" t="s">
        <v>3407</v>
      </c>
      <c r="E832" s="7" t="s">
        <v>3408</v>
      </c>
      <c r="F832" s="7" t="s">
        <v>25</v>
      </c>
      <c r="G832" s="7" t="s">
        <v>25</v>
      </c>
      <c r="H832" s="8">
        <v>1360</v>
      </c>
      <c r="I832" s="7"/>
      <c r="J832" s="7"/>
      <c r="K832" s="7"/>
      <c r="L832" s="8"/>
      <c r="M832" s="8"/>
      <c r="N832" s="7"/>
      <c r="O832" s="7"/>
      <c r="P832" s="7" t="s">
        <v>87</v>
      </c>
      <c r="Q832" s="9">
        <v>46091</v>
      </c>
      <c r="R832" s="7" t="s">
        <v>290</v>
      </c>
      <c r="S832" s="10" t="s">
        <v>3409</v>
      </c>
    </row>
    <row r="833" spans="1:19" ht="81" x14ac:dyDescent="0.25">
      <c r="A833" s="17" t="s">
        <v>3410</v>
      </c>
      <c r="B833" s="7" t="s">
        <v>3411</v>
      </c>
      <c r="C833" s="7" t="s">
        <v>539</v>
      </c>
      <c r="D833" s="7" t="s">
        <v>3412</v>
      </c>
      <c r="E833" s="7" t="s">
        <v>3413</v>
      </c>
      <c r="F833" s="7" t="s">
        <v>25</v>
      </c>
      <c r="G833" s="7" t="s">
        <v>25</v>
      </c>
      <c r="H833" s="8">
        <v>2800</v>
      </c>
      <c r="I833" s="7"/>
      <c r="J833" s="7"/>
      <c r="K833" s="7"/>
      <c r="L833" s="8"/>
      <c r="M833" s="8"/>
      <c r="N833" s="7"/>
      <c r="O833" s="7"/>
      <c r="P833" s="7" t="s">
        <v>87</v>
      </c>
      <c r="Q833" s="9">
        <v>46091</v>
      </c>
      <c r="R833" s="7" t="s">
        <v>290</v>
      </c>
      <c r="S833" s="10" t="s">
        <v>3414</v>
      </c>
    </row>
    <row r="834" spans="1:19" ht="81" x14ac:dyDescent="0.25">
      <c r="A834" s="17" t="s">
        <v>3415</v>
      </c>
      <c r="B834" s="7" t="s">
        <v>3416</v>
      </c>
      <c r="C834" s="7" t="s">
        <v>2322</v>
      </c>
      <c r="D834" s="7" t="s">
        <v>3417</v>
      </c>
      <c r="E834" s="7" t="s">
        <v>1366</v>
      </c>
      <c r="F834" s="7" t="s">
        <v>308</v>
      </c>
      <c r="G834" s="7" t="s">
        <v>308</v>
      </c>
      <c r="H834" s="8">
        <v>1000</v>
      </c>
      <c r="I834" s="7"/>
      <c r="J834" s="7"/>
      <c r="K834" s="7"/>
      <c r="L834" s="8"/>
      <c r="M834" s="8"/>
      <c r="N834" s="7"/>
      <c r="O834" s="7"/>
      <c r="P834" s="7" t="s">
        <v>87</v>
      </c>
      <c r="Q834" s="9">
        <v>46097</v>
      </c>
      <c r="R834" s="7" t="s">
        <v>290</v>
      </c>
      <c r="S834" s="10" t="s">
        <v>3418</v>
      </c>
    </row>
    <row r="835" spans="1:19" ht="40.5" x14ac:dyDescent="0.25">
      <c r="A835" s="17" t="s">
        <v>3419</v>
      </c>
      <c r="B835" s="7" t="s">
        <v>3420</v>
      </c>
      <c r="C835" s="7" t="s">
        <v>596</v>
      </c>
      <c r="D835" s="7"/>
      <c r="E835" s="7"/>
      <c r="F835" s="7" t="s">
        <v>289</v>
      </c>
      <c r="G835" s="7" t="s">
        <v>289</v>
      </c>
      <c r="H835" s="8"/>
      <c r="I835" s="7"/>
      <c r="J835" s="7"/>
      <c r="K835" s="7"/>
      <c r="L835" s="8"/>
      <c r="M835" s="8"/>
      <c r="N835" s="7"/>
      <c r="O835" s="7"/>
      <c r="P835" s="7" t="s">
        <v>87</v>
      </c>
      <c r="Q835" s="9">
        <v>46192</v>
      </c>
      <c r="R835" s="7" t="s">
        <v>290</v>
      </c>
      <c r="S835" s="10" t="s">
        <v>3421</v>
      </c>
    </row>
    <row r="836" spans="1:19" ht="40.5" x14ac:dyDescent="0.25">
      <c r="A836" s="17" t="s">
        <v>3422</v>
      </c>
      <c r="B836" s="7" t="s">
        <v>3423</v>
      </c>
      <c r="C836" s="7" t="s">
        <v>596</v>
      </c>
      <c r="D836" s="7"/>
      <c r="E836" s="7"/>
      <c r="F836" s="7" t="s">
        <v>289</v>
      </c>
      <c r="G836" s="7" t="s">
        <v>289</v>
      </c>
      <c r="H836" s="8"/>
      <c r="I836" s="7"/>
      <c r="J836" s="7"/>
      <c r="K836" s="7"/>
      <c r="L836" s="8"/>
      <c r="M836" s="8"/>
      <c r="N836" s="7"/>
      <c r="O836" s="7"/>
      <c r="P836" s="7" t="s">
        <v>87</v>
      </c>
      <c r="Q836" s="9">
        <v>46192</v>
      </c>
      <c r="R836" s="7" t="s">
        <v>290</v>
      </c>
      <c r="S836" s="10" t="s">
        <v>3424</v>
      </c>
    </row>
    <row r="837" spans="1:19" ht="40.5" x14ac:dyDescent="0.25">
      <c r="A837" s="17" t="s">
        <v>3425</v>
      </c>
      <c r="B837" s="7" t="s">
        <v>3426</v>
      </c>
      <c r="C837" s="7" t="s">
        <v>596</v>
      </c>
      <c r="D837" s="7"/>
      <c r="E837" s="7"/>
      <c r="F837" s="7" t="s">
        <v>289</v>
      </c>
      <c r="G837" s="7" t="s">
        <v>289</v>
      </c>
      <c r="H837" s="8"/>
      <c r="I837" s="7"/>
      <c r="J837" s="7"/>
      <c r="K837" s="7"/>
      <c r="L837" s="8"/>
      <c r="M837" s="8"/>
      <c r="N837" s="7"/>
      <c r="O837" s="7"/>
      <c r="P837" s="7" t="s">
        <v>87</v>
      </c>
      <c r="Q837" s="9">
        <v>46192</v>
      </c>
      <c r="R837" s="7" t="s">
        <v>290</v>
      </c>
      <c r="S837" s="10" t="s">
        <v>3427</v>
      </c>
    </row>
    <row r="838" spans="1:19" ht="40.5" x14ac:dyDescent="0.25">
      <c r="A838" s="17" t="s">
        <v>3428</v>
      </c>
      <c r="B838" s="7" t="s">
        <v>3429</v>
      </c>
      <c r="C838" s="7" t="s">
        <v>288</v>
      </c>
      <c r="D838" s="7"/>
      <c r="E838" s="7"/>
      <c r="F838" s="7" t="s">
        <v>289</v>
      </c>
      <c r="G838" s="7" t="s">
        <v>289</v>
      </c>
      <c r="H838" s="8"/>
      <c r="I838" s="7"/>
      <c r="J838" s="7"/>
      <c r="K838" s="7"/>
      <c r="L838" s="8"/>
      <c r="M838" s="8"/>
      <c r="N838" s="7"/>
      <c r="O838" s="7"/>
      <c r="P838" s="7" t="s">
        <v>87</v>
      </c>
      <c r="Q838" s="9">
        <v>46221</v>
      </c>
      <c r="R838" s="7" t="s">
        <v>290</v>
      </c>
      <c r="S838" s="10" t="s">
        <v>3430</v>
      </c>
    </row>
    <row r="839" spans="1:19" ht="40.5" x14ac:dyDescent="0.25">
      <c r="A839" s="17" t="s">
        <v>3431</v>
      </c>
      <c r="B839" s="7" t="s">
        <v>3432</v>
      </c>
      <c r="C839" s="7" t="s">
        <v>596</v>
      </c>
      <c r="D839" s="7"/>
      <c r="E839" s="7"/>
      <c r="F839" s="7" t="s">
        <v>289</v>
      </c>
      <c r="G839" s="7" t="s">
        <v>289</v>
      </c>
      <c r="H839" s="8"/>
      <c r="I839" s="7"/>
      <c r="J839" s="7"/>
      <c r="K839" s="7"/>
      <c r="L839" s="8"/>
      <c r="M839" s="8"/>
      <c r="N839" s="7"/>
      <c r="O839" s="7"/>
      <c r="P839" s="7" t="s">
        <v>87</v>
      </c>
      <c r="Q839" s="9">
        <v>46212</v>
      </c>
      <c r="R839" s="7" t="s">
        <v>290</v>
      </c>
      <c r="S839" s="10" t="s">
        <v>3433</v>
      </c>
    </row>
    <row r="840" spans="1:19" ht="81" x14ac:dyDescent="0.25">
      <c r="A840" s="17" t="s">
        <v>3434</v>
      </c>
      <c r="B840" s="7" t="s">
        <v>3435</v>
      </c>
      <c r="C840" s="7" t="s">
        <v>342</v>
      </c>
      <c r="D840" s="7" t="s">
        <v>3436</v>
      </c>
      <c r="E840" s="7" t="s">
        <v>3437</v>
      </c>
      <c r="F840" s="7" t="s">
        <v>25</v>
      </c>
      <c r="G840" s="7" t="s">
        <v>25</v>
      </c>
      <c r="H840" s="8">
        <v>200</v>
      </c>
      <c r="I840" s="7"/>
      <c r="J840" s="7"/>
      <c r="K840" s="7"/>
      <c r="L840" s="8"/>
      <c r="M840" s="8"/>
      <c r="N840" s="7"/>
      <c r="O840" s="7"/>
      <c r="P840" s="7" t="s">
        <v>87</v>
      </c>
      <c r="Q840" s="9">
        <v>46097</v>
      </c>
      <c r="R840" s="7" t="s">
        <v>290</v>
      </c>
      <c r="S840" s="10" t="s">
        <v>3438</v>
      </c>
    </row>
    <row r="841" spans="1:19" ht="40.5" x14ac:dyDescent="0.25">
      <c r="A841" s="17" t="s">
        <v>3439</v>
      </c>
      <c r="B841" s="7" t="s">
        <v>3440</v>
      </c>
      <c r="C841" s="7" t="s">
        <v>288</v>
      </c>
      <c r="D841" s="7"/>
      <c r="E841" s="7"/>
      <c r="F841" s="7" t="s">
        <v>289</v>
      </c>
      <c r="G841" s="7" t="s">
        <v>289</v>
      </c>
      <c r="H841" s="8"/>
      <c r="I841" s="7"/>
      <c r="J841" s="7"/>
      <c r="K841" s="7"/>
      <c r="L841" s="8"/>
      <c r="M841" s="8"/>
      <c r="N841" s="7"/>
      <c r="O841" s="7"/>
      <c r="P841" s="7" t="s">
        <v>87</v>
      </c>
      <c r="Q841" s="9">
        <v>46143</v>
      </c>
      <c r="R841" s="7" t="s">
        <v>290</v>
      </c>
      <c r="S841" s="10" t="s">
        <v>3441</v>
      </c>
    </row>
    <row r="842" spans="1:19" ht="40.5" x14ac:dyDescent="0.25">
      <c r="A842" s="17" t="s">
        <v>3442</v>
      </c>
      <c r="B842" s="7" t="s">
        <v>3443</v>
      </c>
      <c r="C842" s="7" t="s">
        <v>288</v>
      </c>
      <c r="D842" s="7"/>
      <c r="E842" s="7"/>
      <c r="F842" s="7" t="s">
        <v>289</v>
      </c>
      <c r="G842" s="7" t="s">
        <v>289</v>
      </c>
      <c r="H842" s="8"/>
      <c r="I842" s="7"/>
      <c r="J842" s="7"/>
      <c r="K842" s="7"/>
      <c r="L842" s="8"/>
      <c r="M842" s="8"/>
      <c r="N842" s="7"/>
      <c r="O842" s="7"/>
      <c r="P842" s="7" t="s">
        <v>87</v>
      </c>
      <c r="Q842" s="9">
        <v>46143</v>
      </c>
      <c r="R842" s="7" t="s">
        <v>290</v>
      </c>
      <c r="S842" s="10" t="s">
        <v>3444</v>
      </c>
    </row>
    <row r="843" spans="1:19" ht="40.5" x14ac:dyDescent="0.25">
      <c r="A843" s="17" t="s">
        <v>3445</v>
      </c>
      <c r="B843" s="7" t="s">
        <v>3446</v>
      </c>
      <c r="C843" s="7" t="s">
        <v>288</v>
      </c>
      <c r="D843" s="7"/>
      <c r="E843" s="7"/>
      <c r="F843" s="7" t="s">
        <v>289</v>
      </c>
      <c r="G843" s="7" t="s">
        <v>289</v>
      </c>
      <c r="H843" s="8"/>
      <c r="I843" s="7"/>
      <c r="J843" s="7"/>
      <c r="K843" s="7"/>
      <c r="L843" s="8"/>
      <c r="M843" s="8"/>
      <c r="N843" s="7"/>
      <c r="O843" s="7"/>
      <c r="P843" s="7" t="s">
        <v>87</v>
      </c>
      <c r="Q843" s="9">
        <v>46143</v>
      </c>
      <c r="R843" s="7" t="s">
        <v>290</v>
      </c>
      <c r="S843" s="10" t="s">
        <v>3447</v>
      </c>
    </row>
    <row r="844" spans="1:19" ht="40.5" x14ac:dyDescent="0.25">
      <c r="A844" s="17" t="s">
        <v>3448</v>
      </c>
      <c r="B844" s="7" t="s">
        <v>3449</v>
      </c>
      <c r="C844" s="7" t="s">
        <v>288</v>
      </c>
      <c r="D844" s="7"/>
      <c r="E844" s="7"/>
      <c r="F844" s="7" t="s">
        <v>289</v>
      </c>
      <c r="G844" s="7" t="s">
        <v>289</v>
      </c>
      <c r="H844" s="8"/>
      <c r="I844" s="7"/>
      <c r="J844" s="7"/>
      <c r="K844" s="7"/>
      <c r="L844" s="8"/>
      <c r="M844" s="8"/>
      <c r="N844" s="7"/>
      <c r="O844" s="7"/>
      <c r="P844" s="7" t="s">
        <v>87</v>
      </c>
      <c r="Q844" s="9">
        <v>46143</v>
      </c>
      <c r="R844" s="7" t="s">
        <v>290</v>
      </c>
      <c r="S844" s="10" t="s">
        <v>3450</v>
      </c>
    </row>
    <row r="845" spans="1:19" ht="81" x14ac:dyDescent="0.25">
      <c r="A845" s="17" t="s">
        <v>3451</v>
      </c>
      <c r="B845" s="7" t="s">
        <v>3452</v>
      </c>
      <c r="C845" s="7" t="s">
        <v>590</v>
      </c>
      <c r="D845" s="7" t="s">
        <v>3453</v>
      </c>
      <c r="E845" s="7" t="s">
        <v>651</v>
      </c>
      <c r="F845" s="7" t="s">
        <v>289</v>
      </c>
      <c r="G845" s="7" t="s">
        <v>289</v>
      </c>
      <c r="H845" s="8">
        <v>25</v>
      </c>
      <c r="I845" s="7"/>
      <c r="J845" s="7"/>
      <c r="K845" s="7"/>
      <c r="L845" s="8"/>
      <c r="M845" s="8"/>
      <c r="N845" s="7"/>
      <c r="O845" s="7"/>
      <c r="P845" s="7" t="s">
        <v>87</v>
      </c>
      <c r="Q845" s="9">
        <v>46097</v>
      </c>
      <c r="R845" s="7" t="s">
        <v>290</v>
      </c>
      <c r="S845" s="10" t="s">
        <v>3454</v>
      </c>
    </row>
    <row r="846" spans="1:19" ht="81" x14ac:dyDescent="0.25">
      <c r="A846" s="17" t="s">
        <v>3455</v>
      </c>
      <c r="B846" s="7" t="s">
        <v>3456</v>
      </c>
      <c r="C846" s="7" t="s">
        <v>590</v>
      </c>
      <c r="D846" s="7" t="s">
        <v>3457</v>
      </c>
      <c r="E846" s="7" t="s">
        <v>651</v>
      </c>
      <c r="F846" s="7" t="s">
        <v>289</v>
      </c>
      <c r="G846" s="7" t="s">
        <v>289</v>
      </c>
      <c r="H846" s="8">
        <v>25</v>
      </c>
      <c r="I846" s="7"/>
      <c r="J846" s="7"/>
      <c r="K846" s="7"/>
      <c r="L846" s="8"/>
      <c r="M846" s="8"/>
      <c r="N846" s="7"/>
      <c r="O846" s="7"/>
      <c r="P846" s="7" t="s">
        <v>87</v>
      </c>
      <c r="Q846" s="9">
        <v>46097</v>
      </c>
      <c r="R846" s="7" t="s">
        <v>290</v>
      </c>
      <c r="S846" s="10" t="s">
        <v>3458</v>
      </c>
    </row>
    <row r="847" spans="1:19" ht="67.5" x14ac:dyDescent="0.25">
      <c r="A847" s="17" t="s">
        <v>3459</v>
      </c>
      <c r="B847" s="7" t="s">
        <v>3460</v>
      </c>
      <c r="C847" s="7" t="s">
        <v>590</v>
      </c>
      <c r="D847" s="7" t="s">
        <v>3461</v>
      </c>
      <c r="E847" s="7" t="s">
        <v>651</v>
      </c>
      <c r="F847" s="7" t="s">
        <v>289</v>
      </c>
      <c r="G847" s="7" t="s">
        <v>289</v>
      </c>
      <c r="H847" s="8">
        <v>25</v>
      </c>
      <c r="I847" s="7"/>
      <c r="J847" s="7"/>
      <c r="K847" s="7"/>
      <c r="L847" s="8"/>
      <c r="M847" s="8"/>
      <c r="N847" s="7"/>
      <c r="O847" s="7"/>
      <c r="P847" s="7" t="s">
        <v>87</v>
      </c>
      <c r="Q847" s="9">
        <v>46097</v>
      </c>
      <c r="R847" s="7" t="s">
        <v>290</v>
      </c>
      <c r="S847" s="10" t="s">
        <v>3462</v>
      </c>
    </row>
    <row r="848" spans="1:19" ht="81" x14ac:dyDescent="0.25">
      <c r="A848" s="17" t="s">
        <v>3463</v>
      </c>
      <c r="B848" s="7" t="s">
        <v>3464</v>
      </c>
      <c r="C848" s="7" t="s">
        <v>2468</v>
      </c>
      <c r="D848" s="7" t="s">
        <v>3465</v>
      </c>
      <c r="E848" s="7" t="s">
        <v>439</v>
      </c>
      <c r="F848" s="7" t="s">
        <v>289</v>
      </c>
      <c r="G848" s="7" t="s">
        <v>289</v>
      </c>
      <c r="H848" s="8">
        <v>1</v>
      </c>
      <c r="I848" s="7"/>
      <c r="J848" s="7"/>
      <c r="K848" s="7"/>
      <c r="L848" s="8"/>
      <c r="M848" s="8"/>
      <c r="N848" s="7"/>
      <c r="O848" s="7"/>
      <c r="P848" s="7" t="s">
        <v>87</v>
      </c>
      <c r="Q848" s="9">
        <v>46126</v>
      </c>
      <c r="R848" s="7" t="s">
        <v>290</v>
      </c>
      <c r="S848" s="10" t="s">
        <v>3466</v>
      </c>
    </row>
    <row r="849" spans="1:19" ht="81" x14ac:dyDescent="0.25">
      <c r="A849" s="17" t="s">
        <v>3467</v>
      </c>
      <c r="B849" s="7" t="s">
        <v>3468</v>
      </c>
      <c r="C849" s="7" t="s">
        <v>2468</v>
      </c>
      <c r="D849" s="7" t="s">
        <v>3469</v>
      </c>
      <c r="E849" s="7" t="s">
        <v>439</v>
      </c>
      <c r="F849" s="7" t="s">
        <v>289</v>
      </c>
      <c r="G849" s="7" t="s">
        <v>289</v>
      </c>
      <c r="H849" s="8">
        <v>1</v>
      </c>
      <c r="I849" s="7"/>
      <c r="J849" s="7"/>
      <c r="K849" s="7"/>
      <c r="L849" s="8"/>
      <c r="M849" s="8"/>
      <c r="N849" s="7"/>
      <c r="O849" s="7"/>
      <c r="P849" s="7" t="s">
        <v>87</v>
      </c>
      <c r="Q849" s="9">
        <v>46126</v>
      </c>
      <c r="R849" s="7" t="s">
        <v>290</v>
      </c>
      <c r="S849" s="10" t="s">
        <v>3470</v>
      </c>
    </row>
    <row r="850" spans="1:19" ht="81" x14ac:dyDescent="0.25">
      <c r="A850" s="17" t="s">
        <v>3471</v>
      </c>
      <c r="B850" s="7" t="s">
        <v>3472</v>
      </c>
      <c r="C850" s="7" t="s">
        <v>2468</v>
      </c>
      <c r="D850" s="7" t="s">
        <v>3473</v>
      </c>
      <c r="E850" s="7" t="s">
        <v>3474</v>
      </c>
      <c r="F850" s="7" t="s">
        <v>289</v>
      </c>
      <c r="G850" s="7" t="s">
        <v>289</v>
      </c>
      <c r="H850" s="8">
        <v>50</v>
      </c>
      <c r="I850" s="7"/>
      <c r="J850" s="7"/>
      <c r="K850" s="7"/>
      <c r="L850" s="8"/>
      <c r="M850" s="8"/>
      <c r="N850" s="7"/>
      <c r="O850" s="7"/>
      <c r="P850" s="7" t="s">
        <v>87</v>
      </c>
      <c r="Q850" s="9">
        <v>46097</v>
      </c>
      <c r="R850" s="7" t="s">
        <v>290</v>
      </c>
      <c r="S850" s="10" t="s">
        <v>3475</v>
      </c>
    </row>
    <row r="851" spans="1:19" ht="81" x14ac:dyDescent="0.25">
      <c r="A851" s="17" t="s">
        <v>3476</v>
      </c>
      <c r="B851" s="7" t="s">
        <v>3477</v>
      </c>
      <c r="C851" s="7" t="s">
        <v>2468</v>
      </c>
      <c r="D851" s="7" t="s">
        <v>3478</v>
      </c>
      <c r="E851" s="7" t="s">
        <v>439</v>
      </c>
      <c r="F851" s="7" t="s">
        <v>289</v>
      </c>
      <c r="G851" s="7" t="s">
        <v>289</v>
      </c>
      <c r="H851" s="8">
        <v>1</v>
      </c>
      <c r="I851" s="7"/>
      <c r="J851" s="7"/>
      <c r="K851" s="7"/>
      <c r="L851" s="8"/>
      <c r="M851" s="8"/>
      <c r="N851" s="7"/>
      <c r="O851" s="7"/>
      <c r="P851" s="7" t="s">
        <v>87</v>
      </c>
      <c r="Q851" s="9">
        <v>46126</v>
      </c>
      <c r="R851" s="7" t="s">
        <v>290</v>
      </c>
      <c r="S851" s="10" t="s">
        <v>3479</v>
      </c>
    </row>
    <row r="852" spans="1:19" ht="81" x14ac:dyDescent="0.25">
      <c r="A852" s="17" t="s">
        <v>3480</v>
      </c>
      <c r="B852" s="7" t="s">
        <v>3481</v>
      </c>
      <c r="C852" s="7" t="s">
        <v>2468</v>
      </c>
      <c r="D852" s="7" t="s">
        <v>3482</v>
      </c>
      <c r="E852" s="7" t="s">
        <v>651</v>
      </c>
      <c r="F852" s="7" t="s">
        <v>289</v>
      </c>
      <c r="G852" s="7" t="s">
        <v>289</v>
      </c>
      <c r="H852" s="8">
        <v>50</v>
      </c>
      <c r="I852" s="7"/>
      <c r="J852" s="7"/>
      <c r="K852" s="7"/>
      <c r="L852" s="8"/>
      <c r="M852" s="8"/>
      <c r="N852" s="7"/>
      <c r="O852" s="7"/>
      <c r="P852" s="7" t="s">
        <v>87</v>
      </c>
      <c r="Q852" s="9">
        <v>46097</v>
      </c>
      <c r="R852" s="7" t="s">
        <v>290</v>
      </c>
      <c r="S852" s="10" t="s">
        <v>3483</v>
      </c>
    </row>
    <row r="853" spans="1:19" ht="81" x14ac:dyDescent="0.25">
      <c r="A853" s="17" t="s">
        <v>3484</v>
      </c>
      <c r="B853" s="7" t="s">
        <v>3485</v>
      </c>
      <c r="C853" s="7" t="s">
        <v>2468</v>
      </c>
      <c r="D853" s="7" t="s">
        <v>3486</v>
      </c>
      <c r="E853" s="7" t="s">
        <v>651</v>
      </c>
      <c r="F853" s="7" t="s">
        <v>289</v>
      </c>
      <c r="G853" s="7" t="s">
        <v>289</v>
      </c>
      <c r="H853" s="8">
        <v>50</v>
      </c>
      <c r="I853" s="7"/>
      <c r="J853" s="7"/>
      <c r="K853" s="7"/>
      <c r="L853" s="8"/>
      <c r="M853" s="8"/>
      <c r="N853" s="7"/>
      <c r="O853" s="7"/>
      <c r="P853" s="7" t="s">
        <v>87</v>
      </c>
      <c r="Q853" s="9">
        <v>46097</v>
      </c>
      <c r="R853" s="7" t="s">
        <v>290</v>
      </c>
      <c r="S853" s="10" t="s">
        <v>3487</v>
      </c>
    </row>
    <row r="854" spans="1:19" ht="81" x14ac:dyDescent="0.25">
      <c r="A854" s="17" t="s">
        <v>3488</v>
      </c>
      <c r="B854" s="7" t="s">
        <v>3489</v>
      </c>
      <c r="C854" s="7" t="s">
        <v>2468</v>
      </c>
      <c r="D854" s="7" t="s">
        <v>3490</v>
      </c>
      <c r="E854" s="7" t="s">
        <v>651</v>
      </c>
      <c r="F854" s="7" t="s">
        <v>289</v>
      </c>
      <c r="G854" s="7" t="s">
        <v>289</v>
      </c>
      <c r="H854" s="8">
        <v>50</v>
      </c>
      <c r="I854" s="7"/>
      <c r="J854" s="7"/>
      <c r="K854" s="7"/>
      <c r="L854" s="8"/>
      <c r="M854" s="8"/>
      <c r="N854" s="7"/>
      <c r="O854" s="7"/>
      <c r="P854" s="7" t="s">
        <v>87</v>
      </c>
      <c r="Q854" s="9">
        <v>46097</v>
      </c>
      <c r="R854" s="7" t="s">
        <v>290</v>
      </c>
      <c r="S854" s="10" t="s">
        <v>3491</v>
      </c>
    </row>
    <row r="855" spans="1:19" ht="81" x14ac:dyDescent="0.25">
      <c r="A855" s="17" t="s">
        <v>3492</v>
      </c>
      <c r="B855" s="7" t="s">
        <v>3493</v>
      </c>
      <c r="C855" s="7" t="s">
        <v>2468</v>
      </c>
      <c r="D855" s="7" t="s">
        <v>3494</v>
      </c>
      <c r="E855" s="7" t="s">
        <v>439</v>
      </c>
      <c r="F855" s="7" t="s">
        <v>289</v>
      </c>
      <c r="G855" s="7" t="s">
        <v>289</v>
      </c>
      <c r="H855" s="8">
        <v>1</v>
      </c>
      <c r="I855" s="7"/>
      <c r="J855" s="7"/>
      <c r="K855" s="7"/>
      <c r="L855" s="8"/>
      <c r="M855" s="8"/>
      <c r="N855" s="7"/>
      <c r="O855" s="7"/>
      <c r="P855" s="7" t="s">
        <v>87</v>
      </c>
      <c r="Q855" s="9">
        <v>46126</v>
      </c>
      <c r="R855" s="7" t="s">
        <v>290</v>
      </c>
      <c r="S855" s="10" t="s">
        <v>3495</v>
      </c>
    </row>
    <row r="856" spans="1:19" ht="81" x14ac:dyDescent="0.25">
      <c r="A856" s="17" t="s">
        <v>3496</v>
      </c>
      <c r="B856" s="7" t="s">
        <v>3497</v>
      </c>
      <c r="C856" s="7" t="s">
        <v>2468</v>
      </c>
      <c r="D856" s="7" t="s">
        <v>3498</v>
      </c>
      <c r="E856" s="7" t="s">
        <v>439</v>
      </c>
      <c r="F856" s="7" t="s">
        <v>289</v>
      </c>
      <c r="G856" s="7" t="s">
        <v>289</v>
      </c>
      <c r="H856" s="8">
        <v>1</v>
      </c>
      <c r="I856" s="7"/>
      <c r="J856" s="7"/>
      <c r="K856" s="7"/>
      <c r="L856" s="8"/>
      <c r="M856" s="8"/>
      <c r="N856" s="7"/>
      <c r="O856" s="7"/>
      <c r="P856" s="7" t="s">
        <v>87</v>
      </c>
      <c r="Q856" s="9">
        <v>46126</v>
      </c>
      <c r="R856" s="7" t="s">
        <v>290</v>
      </c>
      <c r="S856" s="10" t="s">
        <v>3499</v>
      </c>
    </row>
    <row r="857" spans="1:19" ht="27" x14ac:dyDescent="0.25">
      <c r="A857" s="58" t="s">
        <v>3500</v>
      </c>
      <c r="B857" s="7" t="s">
        <v>3501</v>
      </c>
      <c r="C857" s="7" t="s">
        <v>816</v>
      </c>
      <c r="D857" s="7"/>
      <c r="E857" s="7"/>
      <c r="F857" s="7" t="s">
        <v>289</v>
      </c>
      <c r="G857" s="7" t="s">
        <v>289</v>
      </c>
      <c r="H857" s="8"/>
      <c r="I857" s="7"/>
      <c r="J857" s="7"/>
      <c r="K857" s="7"/>
      <c r="L857" s="8"/>
      <c r="M857" s="8"/>
      <c r="N857" s="7"/>
      <c r="O857" s="7"/>
      <c r="P857" s="7" t="s">
        <v>87</v>
      </c>
      <c r="Q857" s="9">
        <v>46185</v>
      </c>
      <c r="R857" s="7" t="s">
        <v>290</v>
      </c>
      <c r="S857" s="10" t="s">
        <v>3502</v>
      </c>
    </row>
    <row r="858" spans="1:19" ht="81" x14ac:dyDescent="0.25">
      <c r="A858" s="17" t="s">
        <v>3503</v>
      </c>
      <c r="B858" s="7" t="s">
        <v>3504</v>
      </c>
      <c r="C858" s="7" t="s">
        <v>590</v>
      </c>
      <c r="D858" s="7" t="s">
        <v>3505</v>
      </c>
      <c r="E858" s="7" t="s">
        <v>592</v>
      </c>
      <c r="F858" s="7" t="s">
        <v>289</v>
      </c>
      <c r="G858" s="7" t="s">
        <v>289</v>
      </c>
      <c r="H858" s="8">
        <v>50</v>
      </c>
      <c r="I858" s="7"/>
      <c r="J858" s="7"/>
      <c r="K858" s="7"/>
      <c r="L858" s="8"/>
      <c r="M858" s="8"/>
      <c r="N858" s="7"/>
      <c r="O858" s="7"/>
      <c r="P858" s="7" t="s">
        <v>87</v>
      </c>
      <c r="Q858" s="9">
        <v>46210</v>
      </c>
      <c r="R858" s="7" t="s">
        <v>290</v>
      </c>
      <c r="S858" s="10" t="s">
        <v>3506</v>
      </c>
    </row>
    <row r="859" spans="1:19" ht="67.5" x14ac:dyDescent="0.25">
      <c r="A859" s="17" t="s">
        <v>3507</v>
      </c>
      <c r="B859" s="7" t="s">
        <v>3508</v>
      </c>
      <c r="C859" s="7" t="s">
        <v>745</v>
      </c>
      <c r="D859" s="7" t="s">
        <v>3509</v>
      </c>
      <c r="E859" s="7" t="s">
        <v>3474</v>
      </c>
      <c r="F859" s="7" t="s">
        <v>289</v>
      </c>
      <c r="G859" s="7" t="s">
        <v>289</v>
      </c>
      <c r="H859" s="8">
        <v>50</v>
      </c>
      <c r="I859" s="7"/>
      <c r="J859" s="7"/>
      <c r="K859" s="7"/>
      <c r="L859" s="8"/>
      <c r="M859" s="8"/>
      <c r="N859" s="7"/>
      <c r="O859" s="7"/>
      <c r="P859" s="7" t="s">
        <v>87</v>
      </c>
      <c r="Q859" s="9">
        <v>46172</v>
      </c>
      <c r="R859" s="7" t="s">
        <v>290</v>
      </c>
      <c r="S859" s="10" t="s">
        <v>3510</v>
      </c>
    </row>
    <row r="860" spans="1:19" ht="67.5" x14ac:dyDescent="0.25">
      <c r="A860" s="17" t="s">
        <v>3511</v>
      </c>
      <c r="B860" s="7" t="s">
        <v>3512</v>
      </c>
      <c r="C860" s="7" t="s">
        <v>745</v>
      </c>
      <c r="D860" s="7" t="s">
        <v>3513</v>
      </c>
      <c r="E860" s="7" t="s">
        <v>3514</v>
      </c>
      <c r="F860" s="7" t="s">
        <v>289</v>
      </c>
      <c r="G860" s="7" t="s">
        <v>289</v>
      </c>
      <c r="H860" s="8">
        <v>50</v>
      </c>
      <c r="I860" s="7"/>
      <c r="J860" s="7"/>
      <c r="K860" s="7"/>
      <c r="L860" s="8"/>
      <c r="M860" s="8"/>
      <c r="N860" s="7"/>
      <c r="O860" s="7"/>
      <c r="P860" s="7" t="s">
        <v>87</v>
      </c>
      <c r="Q860" s="9">
        <v>46172</v>
      </c>
      <c r="R860" s="7" t="s">
        <v>290</v>
      </c>
      <c r="S860" s="10" t="s">
        <v>3515</v>
      </c>
    </row>
    <row r="861" spans="1:19" ht="54" x14ac:dyDescent="0.25">
      <c r="A861" s="17" t="s">
        <v>3516</v>
      </c>
      <c r="B861" s="7" t="s">
        <v>3517</v>
      </c>
      <c r="C861" s="7" t="s">
        <v>437</v>
      </c>
      <c r="D861" s="7" t="s">
        <v>3518</v>
      </c>
      <c r="E861" s="7" t="s">
        <v>439</v>
      </c>
      <c r="F861" s="7" t="s">
        <v>289</v>
      </c>
      <c r="G861" s="7" t="s">
        <v>289</v>
      </c>
      <c r="H861" s="8">
        <v>1</v>
      </c>
      <c r="I861" s="7"/>
      <c r="J861" s="7"/>
      <c r="K861" s="7"/>
      <c r="L861" s="8"/>
      <c r="M861" s="8"/>
      <c r="N861" s="7"/>
      <c r="O861" s="7"/>
      <c r="P861" s="7" t="s">
        <v>87</v>
      </c>
      <c r="Q861" s="9">
        <v>46105</v>
      </c>
      <c r="R861" s="7" t="s">
        <v>290</v>
      </c>
      <c r="S861" s="10" t="s">
        <v>3519</v>
      </c>
    </row>
    <row r="862" spans="1:19" ht="54" x14ac:dyDescent="0.25">
      <c r="A862" s="17" t="s">
        <v>3520</v>
      </c>
      <c r="B862" s="7" t="s">
        <v>3521</v>
      </c>
      <c r="C862" s="7" t="s">
        <v>437</v>
      </c>
      <c r="D862" s="7" t="s">
        <v>3522</v>
      </c>
      <c r="E862" s="7" t="s">
        <v>439</v>
      </c>
      <c r="F862" s="7" t="s">
        <v>289</v>
      </c>
      <c r="G862" s="7" t="s">
        <v>289</v>
      </c>
      <c r="H862" s="8">
        <v>1</v>
      </c>
      <c r="I862" s="7"/>
      <c r="J862" s="7"/>
      <c r="K862" s="7"/>
      <c r="L862" s="8"/>
      <c r="M862" s="8"/>
      <c r="N862" s="7"/>
      <c r="O862" s="7"/>
      <c r="P862" s="7" t="s">
        <v>87</v>
      </c>
      <c r="Q862" s="9">
        <v>46105</v>
      </c>
      <c r="R862" s="7" t="s">
        <v>290</v>
      </c>
      <c r="S862" s="10" t="s">
        <v>3523</v>
      </c>
    </row>
    <row r="863" spans="1:19" ht="54" x14ac:dyDescent="0.25">
      <c r="A863" s="17" t="s">
        <v>3524</v>
      </c>
      <c r="B863" s="7" t="s">
        <v>3525</v>
      </c>
      <c r="C863" s="7" t="s">
        <v>437</v>
      </c>
      <c r="D863" s="7" t="s">
        <v>3526</v>
      </c>
      <c r="E863" s="7" t="s">
        <v>439</v>
      </c>
      <c r="F863" s="7" t="s">
        <v>289</v>
      </c>
      <c r="G863" s="7" t="s">
        <v>289</v>
      </c>
      <c r="H863" s="8">
        <v>1</v>
      </c>
      <c r="I863" s="7"/>
      <c r="J863" s="7"/>
      <c r="K863" s="7"/>
      <c r="L863" s="8"/>
      <c r="M863" s="8"/>
      <c r="N863" s="7"/>
      <c r="O863" s="7"/>
      <c r="P863" s="7" t="s">
        <v>87</v>
      </c>
      <c r="Q863" s="9">
        <v>46105</v>
      </c>
      <c r="R863" s="7" t="s">
        <v>290</v>
      </c>
      <c r="S863" s="10" t="s">
        <v>3527</v>
      </c>
    </row>
    <row r="864" spans="1:19" ht="54" x14ac:dyDescent="0.25">
      <c r="A864" s="17" t="s">
        <v>3528</v>
      </c>
      <c r="B864" s="7" t="s">
        <v>3529</v>
      </c>
      <c r="C864" s="7" t="s">
        <v>437</v>
      </c>
      <c r="D864" s="7" t="s">
        <v>3530</v>
      </c>
      <c r="E864" s="7" t="s">
        <v>439</v>
      </c>
      <c r="F864" s="7" t="s">
        <v>289</v>
      </c>
      <c r="G864" s="7" t="s">
        <v>289</v>
      </c>
      <c r="H864" s="8">
        <v>1</v>
      </c>
      <c r="I864" s="7"/>
      <c r="J864" s="7"/>
      <c r="K864" s="7"/>
      <c r="L864" s="8"/>
      <c r="M864" s="8"/>
      <c r="N864" s="7"/>
      <c r="O864" s="7"/>
      <c r="P864" s="7" t="s">
        <v>87</v>
      </c>
      <c r="Q864" s="9">
        <v>46105</v>
      </c>
      <c r="R864" s="7" t="s">
        <v>290</v>
      </c>
      <c r="S864" s="10" t="s">
        <v>3531</v>
      </c>
    </row>
    <row r="865" spans="1:19" ht="40.5" x14ac:dyDescent="0.25">
      <c r="A865" s="17" t="s">
        <v>3532</v>
      </c>
      <c r="B865" s="7" t="s">
        <v>3533</v>
      </c>
      <c r="C865" s="7" t="s">
        <v>378</v>
      </c>
      <c r="D865" s="7"/>
      <c r="E865" s="7"/>
      <c r="F865" s="7" t="s">
        <v>289</v>
      </c>
      <c r="G865" s="7" t="s">
        <v>289</v>
      </c>
      <c r="H865" s="8"/>
      <c r="I865" s="7"/>
      <c r="J865" s="7"/>
      <c r="K865" s="7"/>
      <c r="L865" s="8"/>
      <c r="M865" s="8"/>
      <c r="N865" s="7"/>
      <c r="O865" s="7"/>
      <c r="P865" s="7" t="s">
        <v>87</v>
      </c>
      <c r="Q865" s="9">
        <v>46192</v>
      </c>
      <c r="R865" s="7" t="s">
        <v>290</v>
      </c>
      <c r="S865" s="10" t="s">
        <v>3534</v>
      </c>
    </row>
    <row r="866" spans="1:19" ht="40.5" x14ac:dyDescent="0.25">
      <c r="A866" s="17" t="s">
        <v>3535</v>
      </c>
      <c r="B866" s="7" t="s">
        <v>3536</v>
      </c>
      <c r="C866" s="7" t="s">
        <v>378</v>
      </c>
      <c r="D866" s="7"/>
      <c r="E866" s="7"/>
      <c r="F866" s="7" t="s">
        <v>289</v>
      </c>
      <c r="G866" s="7" t="s">
        <v>289</v>
      </c>
      <c r="H866" s="8"/>
      <c r="I866" s="7"/>
      <c r="J866" s="7"/>
      <c r="K866" s="7"/>
      <c r="L866" s="8"/>
      <c r="M866" s="8"/>
      <c r="N866" s="7"/>
      <c r="O866" s="7"/>
      <c r="P866" s="7" t="s">
        <v>87</v>
      </c>
      <c r="Q866" s="9">
        <v>46192</v>
      </c>
      <c r="R866" s="7" t="s">
        <v>290</v>
      </c>
      <c r="S866" s="10" t="s">
        <v>3537</v>
      </c>
    </row>
    <row r="867" spans="1:19" ht="81" x14ac:dyDescent="0.25">
      <c r="A867" s="17" t="s">
        <v>3538</v>
      </c>
      <c r="B867" s="7" t="s">
        <v>3539</v>
      </c>
      <c r="C867" s="7" t="s">
        <v>342</v>
      </c>
      <c r="D867" s="7" t="s">
        <v>3540</v>
      </c>
      <c r="E867" s="7" t="s">
        <v>3541</v>
      </c>
      <c r="F867" s="7" t="s">
        <v>25</v>
      </c>
      <c r="G867" s="7" t="s">
        <v>25</v>
      </c>
      <c r="H867" s="8">
        <v>1580</v>
      </c>
      <c r="I867" s="7"/>
      <c r="J867" s="7"/>
      <c r="K867" s="7"/>
      <c r="L867" s="8"/>
      <c r="M867" s="8"/>
      <c r="N867" s="7"/>
      <c r="O867" s="7"/>
      <c r="P867" s="7" t="s">
        <v>87</v>
      </c>
      <c r="Q867" s="9">
        <v>46097</v>
      </c>
      <c r="R867" s="7" t="s">
        <v>290</v>
      </c>
      <c r="S867" s="10" t="s">
        <v>3542</v>
      </c>
    </row>
    <row r="868" spans="1:19" ht="67.5" x14ac:dyDescent="0.25">
      <c r="A868" s="17" t="s">
        <v>3543</v>
      </c>
      <c r="B868" s="7" t="s">
        <v>3544</v>
      </c>
      <c r="C868" s="7" t="s">
        <v>348</v>
      </c>
      <c r="D868" s="7" t="s">
        <v>3545</v>
      </c>
      <c r="E868" s="7" t="s">
        <v>3546</v>
      </c>
      <c r="F868" s="7" t="s">
        <v>289</v>
      </c>
      <c r="G868" s="7" t="s">
        <v>289</v>
      </c>
      <c r="H868" s="8">
        <v>6</v>
      </c>
      <c r="I868" s="7"/>
      <c r="J868" s="7"/>
      <c r="K868" s="7"/>
      <c r="L868" s="8"/>
      <c r="M868" s="8"/>
      <c r="N868" s="7"/>
      <c r="O868" s="7"/>
      <c r="P868" s="7" t="s">
        <v>87</v>
      </c>
      <c r="Q868" s="9">
        <v>46078</v>
      </c>
      <c r="R868" s="7" t="s">
        <v>290</v>
      </c>
      <c r="S868" s="10" t="s">
        <v>3547</v>
      </c>
    </row>
    <row r="869" spans="1:19" ht="67.5" x14ac:dyDescent="0.25">
      <c r="A869" s="17" t="s">
        <v>3548</v>
      </c>
      <c r="B869" s="7" t="s">
        <v>3549</v>
      </c>
      <c r="C869" s="7" t="s">
        <v>348</v>
      </c>
      <c r="D869" s="7" t="s">
        <v>3550</v>
      </c>
      <c r="E869" s="7" t="s">
        <v>3546</v>
      </c>
      <c r="F869" s="7" t="s">
        <v>289</v>
      </c>
      <c r="G869" s="7" t="s">
        <v>289</v>
      </c>
      <c r="H869" s="8">
        <v>6</v>
      </c>
      <c r="I869" s="7"/>
      <c r="J869" s="7"/>
      <c r="K869" s="7"/>
      <c r="L869" s="8"/>
      <c r="M869" s="8"/>
      <c r="N869" s="7"/>
      <c r="O869" s="7"/>
      <c r="P869" s="7" t="s">
        <v>87</v>
      </c>
      <c r="Q869" s="9">
        <v>46078</v>
      </c>
      <c r="R869" s="7" t="s">
        <v>290</v>
      </c>
      <c r="S869" s="10" t="s">
        <v>3551</v>
      </c>
    </row>
    <row r="870" spans="1:19" ht="67.5" x14ac:dyDescent="0.25">
      <c r="A870" s="17" t="s">
        <v>3552</v>
      </c>
      <c r="B870" s="7" t="s">
        <v>3553</v>
      </c>
      <c r="C870" s="7" t="s">
        <v>348</v>
      </c>
      <c r="D870" s="7" t="s">
        <v>3554</v>
      </c>
      <c r="E870" s="7" t="s">
        <v>3546</v>
      </c>
      <c r="F870" s="7" t="s">
        <v>289</v>
      </c>
      <c r="G870" s="7" t="s">
        <v>289</v>
      </c>
      <c r="H870" s="8">
        <v>6</v>
      </c>
      <c r="I870" s="7"/>
      <c r="J870" s="7"/>
      <c r="K870" s="7"/>
      <c r="L870" s="8"/>
      <c r="M870" s="8"/>
      <c r="N870" s="7"/>
      <c r="O870" s="7"/>
      <c r="P870" s="7" t="s">
        <v>87</v>
      </c>
      <c r="Q870" s="9">
        <v>46078</v>
      </c>
      <c r="R870" s="7" t="s">
        <v>290</v>
      </c>
      <c r="S870" s="10" t="s">
        <v>3555</v>
      </c>
    </row>
    <row r="871" spans="1:19" ht="67.5" x14ac:dyDescent="0.25">
      <c r="A871" s="17" t="s">
        <v>3556</v>
      </c>
      <c r="B871" s="7" t="s">
        <v>3557</v>
      </c>
      <c r="C871" s="7" t="s">
        <v>348</v>
      </c>
      <c r="D871" s="7" t="s">
        <v>3558</v>
      </c>
      <c r="E871" s="7" t="s">
        <v>3546</v>
      </c>
      <c r="F871" s="7" t="s">
        <v>289</v>
      </c>
      <c r="G871" s="7" t="s">
        <v>289</v>
      </c>
      <c r="H871" s="8">
        <v>6</v>
      </c>
      <c r="I871" s="7"/>
      <c r="J871" s="7"/>
      <c r="K871" s="7"/>
      <c r="L871" s="8"/>
      <c r="M871" s="8"/>
      <c r="N871" s="7"/>
      <c r="O871" s="7"/>
      <c r="P871" s="7" t="s">
        <v>87</v>
      </c>
      <c r="Q871" s="9">
        <v>46078</v>
      </c>
      <c r="R871" s="7" t="s">
        <v>290</v>
      </c>
      <c r="S871" s="10" t="s">
        <v>3559</v>
      </c>
    </row>
    <row r="872" spans="1:19" ht="40.5" x14ac:dyDescent="0.25">
      <c r="A872" s="17" t="s">
        <v>3560</v>
      </c>
      <c r="B872" s="7" t="s">
        <v>3561</v>
      </c>
      <c r="C872" s="7" t="s">
        <v>604</v>
      </c>
      <c r="D872" s="7"/>
      <c r="E872" s="7"/>
      <c r="F872" s="7" t="s">
        <v>289</v>
      </c>
      <c r="G872" s="7" t="s">
        <v>289</v>
      </c>
      <c r="H872" s="8"/>
      <c r="I872" s="7"/>
      <c r="J872" s="7"/>
      <c r="K872" s="7"/>
      <c r="L872" s="8"/>
      <c r="M872" s="8"/>
      <c r="N872" s="7"/>
      <c r="O872" s="7"/>
      <c r="P872" s="7" t="s">
        <v>87</v>
      </c>
      <c r="Q872" s="9">
        <v>46192</v>
      </c>
      <c r="R872" s="7" t="s">
        <v>290</v>
      </c>
      <c r="S872" s="10" t="s">
        <v>3562</v>
      </c>
    </row>
    <row r="873" spans="1:19" ht="40.5" x14ac:dyDescent="0.25">
      <c r="A873" s="17" t="s">
        <v>3563</v>
      </c>
      <c r="B873" s="7" t="s">
        <v>3564</v>
      </c>
      <c r="C873" s="7" t="s">
        <v>2213</v>
      </c>
      <c r="D873" s="7"/>
      <c r="E873" s="7"/>
      <c r="F873" s="7" t="s">
        <v>289</v>
      </c>
      <c r="G873" s="7" t="s">
        <v>289</v>
      </c>
      <c r="H873" s="8"/>
      <c r="I873" s="7"/>
      <c r="J873" s="7"/>
      <c r="K873" s="7"/>
      <c r="L873" s="8"/>
      <c r="M873" s="8"/>
      <c r="N873" s="7"/>
      <c r="O873" s="7"/>
      <c r="P873" s="7" t="s">
        <v>87</v>
      </c>
      <c r="Q873" s="9">
        <v>46097</v>
      </c>
      <c r="R873" s="7" t="s">
        <v>290</v>
      </c>
      <c r="S873" s="10" t="s">
        <v>3565</v>
      </c>
    </row>
    <row r="874" spans="1:19" ht="40.5" x14ac:dyDescent="0.25">
      <c r="A874" s="17" t="s">
        <v>3566</v>
      </c>
      <c r="B874" s="7" t="s">
        <v>3567</v>
      </c>
      <c r="C874" s="7" t="s">
        <v>2213</v>
      </c>
      <c r="D874" s="7"/>
      <c r="E874" s="7"/>
      <c r="F874" s="7" t="s">
        <v>289</v>
      </c>
      <c r="G874" s="7" t="s">
        <v>289</v>
      </c>
      <c r="H874" s="8"/>
      <c r="I874" s="7"/>
      <c r="J874" s="7"/>
      <c r="K874" s="7"/>
      <c r="L874" s="8"/>
      <c r="M874" s="8"/>
      <c r="N874" s="7"/>
      <c r="O874" s="7"/>
      <c r="P874" s="7" t="s">
        <v>87</v>
      </c>
      <c r="Q874" s="9">
        <v>46097</v>
      </c>
      <c r="R874" s="7" t="s">
        <v>290</v>
      </c>
      <c r="S874" s="10" t="s">
        <v>3568</v>
      </c>
    </row>
    <row r="875" spans="1:19" ht="81" x14ac:dyDescent="0.25">
      <c r="A875" s="17" t="s">
        <v>3569</v>
      </c>
      <c r="B875" s="7" t="s">
        <v>3570</v>
      </c>
      <c r="C875" s="7" t="s">
        <v>481</v>
      </c>
      <c r="D875" s="7" t="s">
        <v>3571</v>
      </c>
      <c r="E875" s="7" t="s">
        <v>1900</v>
      </c>
      <c r="F875" s="7" t="s">
        <v>308</v>
      </c>
      <c r="G875" s="7" t="s">
        <v>308</v>
      </c>
      <c r="H875" s="8">
        <v>700</v>
      </c>
      <c r="I875" s="7"/>
      <c r="J875" s="7"/>
      <c r="K875" s="7"/>
      <c r="L875" s="8"/>
      <c r="M875" s="8"/>
      <c r="N875" s="7"/>
      <c r="O875" s="7"/>
      <c r="P875" s="7" t="s">
        <v>87</v>
      </c>
      <c r="Q875" s="9">
        <v>46150</v>
      </c>
      <c r="R875" s="7" t="s">
        <v>290</v>
      </c>
      <c r="S875" s="10" t="s">
        <v>3572</v>
      </c>
    </row>
    <row r="876" spans="1:19" ht="40.5" x14ac:dyDescent="0.25">
      <c r="A876" s="17" t="s">
        <v>3573</v>
      </c>
      <c r="B876" s="7" t="s">
        <v>3574</v>
      </c>
      <c r="C876" s="7" t="s">
        <v>596</v>
      </c>
      <c r="D876" s="7"/>
      <c r="E876" s="7"/>
      <c r="F876" s="7" t="s">
        <v>289</v>
      </c>
      <c r="G876" s="7" t="s">
        <v>289</v>
      </c>
      <c r="H876" s="8"/>
      <c r="I876" s="7"/>
      <c r="J876" s="7"/>
      <c r="K876" s="7"/>
      <c r="L876" s="8"/>
      <c r="M876" s="8"/>
      <c r="N876" s="7"/>
      <c r="O876" s="7"/>
      <c r="P876" s="7" t="s">
        <v>87</v>
      </c>
      <c r="Q876" s="9">
        <v>46192</v>
      </c>
      <c r="R876" s="7" t="s">
        <v>290</v>
      </c>
      <c r="S876" s="10" t="s">
        <v>3575</v>
      </c>
    </row>
    <row r="877" spans="1:19" ht="40.5" x14ac:dyDescent="0.25">
      <c r="A877" s="17" t="s">
        <v>3576</v>
      </c>
      <c r="B877" s="7" t="s">
        <v>3577</v>
      </c>
      <c r="C877" s="7" t="s">
        <v>596</v>
      </c>
      <c r="D877" s="7"/>
      <c r="E877" s="7"/>
      <c r="F877" s="7" t="s">
        <v>289</v>
      </c>
      <c r="G877" s="7" t="s">
        <v>289</v>
      </c>
      <c r="H877" s="8"/>
      <c r="I877" s="7"/>
      <c r="J877" s="7"/>
      <c r="K877" s="7"/>
      <c r="L877" s="8"/>
      <c r="M877" s="8"/>
      <c r="N877" s="7"/>
      <c r="O877" s="7"/>
      <c r="P877" s="7" t="s">
        <v>87</v>
      </c>
      <c r="Q877" s="9">
        <v>46192</v>
      </c>
      <c r="R877" s="7" t="s">
        <v>290</v>
      </c>
      <c r="S877" s="10" t="s">
        <v>3578</v>
      </c>
    </row>
    <row r="878" spans="1:19" ht="40.5" x14ac:dyDescent="0.25">
      <c r="A878" s="17" t="s">
        <v>3579</v>
      </c>
      <c r="B878" s="7" t="s">
        <v>3580</v>
      </c>
      <c r="C878" s="7" t="s">
        <v>596</v>
      </c>
      <c r="D878" s="7"/>
      <c r="E878" s="7"/>
      <c r="F878" s="7" t="s">
        <v>289</v>
      </c>
      <c r="G878" s="7" t="s">
        <v>289</v>
      </c>
      <c r="H878" s="8"/>
      <c r="I878" s="7"/>
      <c r="J878" s="7"/>
      <c r="K878" s="7"/>
      <c r="L878" s="8"/>
      <c r="M878" s="8"/>
      <c r="N878" s="7"/>
      <c r="O878" s="7"/>
      <c r="P878" s="7" t="s">
        <v>87</v>
      </c>
      <c r="Q878" s="9">
        <v>46192</v>
      </c>
      <c r="R878" s="7" t="s">
        <v>290</v>
      </c>
      <c r="S878" s="10" t="s">
        <v>3581</v>
      </c>
    </row>
    <row r="879" spans="1:19" ht="27" x14ac:dyDescent="0.25">
      <c r="A879" s="17" t="s">
        <v>3582</v>
      </c>
      <c r="B879" s="7" t="s">
        <v>3583</v>
      </c>
      <c r="C879" s="7" t="s">
        <v>491</v>
      </c>
      <c r="D879" s="7"/>
      <c r="E879" s="7"/>
      <c r="F879" s="7" t="s">
        <v>289</v>
      </c>
      <c r="G879" s="7" t="s">
        <v>289</v>
      </c>
      <c r="H879" s="8"/>
      <c r="I879" s="7"/>
      <c r="J879" s="7"/>
      <c r="K879" s="7"/>
      <c r="L879" s="8"/>
      <c r="M879" s="8"/>
      <c r="N879" s="7"/>
      <c r="O879" s="7"/>
      <c r="P879" s="7" t="s">
        <v>87</v>
      </c>
      <c r="Q879" s="9">
        <v>46220</v>
      </c>
      <c r="R879" s="7" t="s">
        <v>290</v>
      </c>
      <c r="S879" s="10" t="s">
        <v>3584</v>
      </c>
    </row>
    <row r="880" spans="1:19" ht="27" x14ac:dyDescent="0.25">
      <c r="A880" s="17" t="s">
        <v>3585</v>
      </c>
      <c r="B880" s="7" t="s">
        <v>3586</v>
      </c>
      <c r="C880" s="7" t="s">
        <v>491</v>
      </c>
      <c r="D880" s="7"/>
      <c r="E880" s="7"/>
      <c r="F880" s="7" t="s">
        <v>289</v>
      </c>
      <c r="G880" s="7" t="s">
        <v>289</v>
      </c>
      <c r="H880" s="8"/>
      <c r="I880" s="7"/>
      <c r="J880" s="7"/>
      <c r="K880" s="7"/>
      <c r="L880" s="8"/>
      <c r="M880" s="8"/>
      <c r="N880" s="7"/>
      <c r="O880" s="7"/>
      <c r="P880" s="7" t="s">
        <v>87</v>
      </c>
      <c r="Q880" s="9">
        <v>46220</v>
      </c>
      <c r="R880" s="7" t="s">
        <v>290</v>
      </c>
      <c r="S880" s="10" t="s">
        <v>3587</v>
      </c>
    </row>
    <row r="881" spans="1:19" ht="27" x14ac:dyDescent="0.25">
      <c r="A881" s="17" t="s">
        <v>3588</v>
      </c>
      <c r="B881" s="7" t="s">
        <v>3589</v>
      </c>
      <c r="C881" s="7" t="s">
        <v>437</v>
      </c>
      <c r="D881" s="7"/>
      <c r="E881" s="7"/>
      <c r="F881" s="7" t="s">
        <v>289</v>
      </c>
      <c r="G881" s="7" t="s">
        <v>289</v>
      </c>
      <c r="H881" s="8"/>
      <c r="I881" s="7"/>
      <c r="J881" s="7"/>
      <c r="K881" s="7"/>
      <c r="L881" s="8"/>
      <c r="M881" s="8"/>
      <c r="N881" s="7"/>
      <c r="O881" s="7"/>
      <c r="P881" s="7" t="s">
        <v>87</v>
      </c>
      <c r="Q881" s="9">
        <v>46197</v>
      </c>
      <c r="R881" s="7" t="s">
        <v>290</v>
      </c>
      <c r="S881" s="10" t="s">
        <v>3590</v>
      </c>
    </row>
    <row r="882" spans="1:19" ht="81" x14ac:dyDescent="0.25">
      <c r="A882" s="17" t="s">
        <v>3591</v>
      </c>
      <c r="B882" s="7" t="s">
        <v>3592</v>
      </c>
      <c r="C882" s="7" t="s">
        <v>2545</v>
      </c>
      <c r="D882" s="7" t="s">
        <v>3593</v>
      </c>
      <c r="E882" s="7" t="s">
        <v>2569</v>
      </c>
      <c r="F882" s="7" t="s">
        <v>289</v>
      </c>
      <c r="G882" s="7" t="s">
        <v>289</v>
      </c>
      <c r="H882" s="8">
        <v>1</v>
      </c>
      <c r="I882" s="7"/>
      <c r="J882" s="7"/>
      <c r="K882" s="7"/>
      <c r="L882" s="8"/>
      <c r="M882" s="8"/>
      <c r="N882" s="7"/>
      <c r="O882" s="7"/>
      <c r="P882" s="7" t="s">
        <v>87</v>
      </c>
      <c r="Q882" s="9">
        <v>46097</v>
      </c>
      <c r="R882" s="7" t="s">
        <v>290</v>
      </c>
      <c r="S882" s="10" t="s">
        <v>3594</v>
      </c>
    </row>
    <row r="883" spans="1:19" ht="81" x14ac:dyDescent="0.25">
      <c r="A883" s="17" t="s">
        <v>3595</v>
      </c>
      <c r="B883" s="7" t="s">
        <v>3596</v>
      </c>
      <c r="C883" s="7" t="s">
        <v>2545</v>
      </c>
      <c r="D883" s="7" t="s">
        <v>3597</v>
      </c>
      <c r="E883" s="7" t="s">
        <v>3598</v>
      </c>
      <c r="F883" s="7" t="s">
        <v>289</v>
      </c>
      <c r="G883" s="7" t="s">
        <v>289</v>
      </c>
      <c r="H883" s="8">
        <v>24</v>
      </c>
      <c r="I883" s="7"/>
      <c r="J883" s="7"/>
      <c r="K883" s="7"/>
      <c r="L883" s="8"/>
      <c r="M883" s="8"/>
      <c r="N883" s="7"/>
      <c r="O883" s="7"/>
      <c r="P883" s="7" t="s">
        <v>87</v>
      </c>
      <c r="Q883" s="9">
        <v>46094</v>
      </c>
      <c r="R883" s="7" t="s">
        <v>290</v>
      </c>
      <c r="S883" s="10" t="s">
        <v>3599</v>
      </c>
    </row>
    <row r="884" spans="1:19" ht="67.5" x14ac:dyDescent="0.25">
      <c r="A884" s="17" t="s">
        <v>3600</v>
      </c>
      <c r="B884" s="7" t="s">
        <v>3601</v>
      </c>
      <c r="C884" s="7" t="s">
        <v>774</v>
      </c>
      <c r="D884" s="7" t="s">
        <v>3602</v>
      </c>
      <c r="E884" s="7" t="s">
        <v>3603</v>
      </c>
      <c r="F884" s="7" t="s">
        <v>25</v>
      </c>
      <c r="G884" s="7" t="s">
        <v>24</v>
      </c>
      <c r="H884" s="8">
        <v>1000</v>
      </c>
      <c r="I884" s="7"/>
      <c r="J884" s="7"/>
      <c r="K884" s="7"/>
      <c r="L884" s="8"/>
      <c r="M884" s="8"/>
      <c r="N884" s="7"/>
      <c r="O884" s="7"/>
      <c r="P884" s="7" t="s">
        <v>87</v>
      </c>
      <c r="Q884" s="9">
        <v>46177</v>
      </c>
      <c r="R884" s="7" t="s">
        <v>290</v>
      </c>
      <c r="S884" s="10" t="s">
        <v>3604</v>
      </c>
    </row>
    <row r="885" spans="1:19" ht="81" x14ac:dyDescent="0.25">
      <c r="A885" s="17" t="s">
        <v>3605</v>
      </c>
      <c r="B885" s="7" t="s">
        <v>3606</v>
      </c>
      <c r="C885" s="7" t="s">
        <v>1101</v>
      </c>
      <c r="D885" s="7" t="s">
        <v>3607</v>
      </c>
      <c r="E885" s="7" t="s">
        <v>1686</v>
      </c>
      <c r="F885" s="7" t="s">
        <v>25</v>
      </c>
      <c r="G885" s="7" t="s">
        <v>25</v>
      </c>
      <c r="H885" s="8">
        <v>1000</v>
      </c>
      <c r="I885" s="7"/>
      <c r="J885" s="7"/>
      <c r="K885" s="7"/>
      <c r="L885" s="8"/>
      <c r="M885" s="8"/>
      <c r="N885" s="7"/>
      <c r="O885" s="7"/>
      <c r="P885" s="7" t="s">
        <v>87</v>
      </c>
      <c r="Q885" s="9">
        <v>46097</v>
      </c>
      <c r="R885" s="7" t="s">
        <v>290</v>
      </c>
      <c r="S885" s="10" t="s">
        <v>3608</v>
      </c>
    </row>
    <row r="886" spans="1:19" ht="81" x14ac:dyDescent="0.25">
      <c r="A886" s="17" t="s">
        <v>3609</v>
      </c>
      <c r="B886" s="7" t="s">
        <v>3610</v>
      </c>
      <c r="C886" s="7" t="s">
        <v>359</v>
      </c>
      <c r="D886" s="7" t="s">
        <v>3611</v>
      </c>
      <c r="E886" s="7" t="s">
        <v>361</v>
      </c>
      <c r="F886" s="7" t="s">
        <v>25</v>
      </c>
      <c r="G886" s="7" t="s">
        <v>25</v>
      </c>
      <c r="H886" s="8">
        <v>1000</v>
      </c>
      <c r="I886" s="7"/>
      <c r="J886" s="7"/>
      <c r="K886" s="7"/>
      <c r="L886" s="8"/>
      <c r="M886" s="8"/>
      <c r="N886" s="7"/>
      <c r="O886" s="7"/>
      <c r="P886" s="7" t="s">
        <v>87</v>
      </c>
      <c r="Q886" s="9">
        <v>46107</v>
      </c>
      <c r="R886" s="7" t="s">
        <v>290</v>
      </c>
      <c r="S886" s="10" t="s">
        <v>3612</v>
      </c>
    </row>
    <row r="887" spans="1:19" ht="81" x14ac:dyDescent="0.25">
      <c r="A887" s="17" t="s">
        <v>3613</v>
      </c>
      <c r="B887" s="7" t="s">
        <v>3614</v>
      </c>
      <c r="C887" s="7" t="s">
        <v>359</v>
      </c>
      <c r="D887" s="7" t="s">
        <v>3615</v>
      </c>
      <c r="E887" s="7" t="s">
        <v>361</v>
      </c>
      <c r="F887" s="7" t="s">
        <v>25</v>
      </c>
      <c r="G887" s="7" t="s">
        <v>25</v>
      </c>
      <c r="H887" s="8">
        <v>1000</v>
      </c>
      <c r="I887" s="7"/>
      <c r="J887" s="7"/>
      <c r="K887" s="7"/>
      <c r="L887" s="8"/>
      <c r="M887" s="8"/>
      <c r="N887" s="7"/>
      <c r="O887" s="7"/>
      <c r="P887" s="7" t="s">
        <v>87</v>
      </c>
      <c r="Q887" s="9">
        <v>46107</v>
      </c>
      <c r="R887" s="7" t="s">
        <v>290</v>
      </c>
      <c r="S887" s="10" t="s">
        <v>3616</v>
      </c>
    </row>
    <row r="888" spans="1:19" ht="81" x14ac:dyDescent="0.25">
      <c r="A888" s="17" t="s">
        <v>3617</v>
      </c>
      <c r="B888" s="7" t="s">
        <v>3618</v>
      </c>
      <c r="C888" s="7" t="s">
        <v>359</v>
      </c>
      <c r="D888" s="7" t="s">
        <v>3619</v>
      </c>
      <c r="E888" s="7" t="s">
        <v>361</v>
      </c>
      <c r="F888" s="7" t="s">
        <v>25</v>
      </c>
      <c r="G888" s="7" t="s">
        <v>25</v>
      </c>
      <c r="H888" s="8">
        <v>1000</v>
      </c>
      <c r="I888" s="7"/>
      <c r="J888" s="7"/>
      <c r="K888" s="7"/>
      <c r="L888" s="8"/>
      <c r="M888" s="8"/>
      <c r="N888" s="7"/>
      <c r="O888" s="7"/>
      <c r="P888" s="7" t="s">
        <v>87</v>
      </c>
      <c r="Q888" s="9">
        <v>46107</v>
      </c>
      <c r="R888" s="7" t="s">
        <v>290</v>
      </c>
      <c r="S888" s="10" t="s">
        <v>3620</v>
      </c>
    </row>
    <row r="889" spans="1:19" ht="81" x14ac:dyDescent="0.25">
      <c r="A889" s="17" t="s">
        <v>3621</v>
      </c>
      <c r="B889" s="7" t="s">
        <v>3622</v>
      </c>
      <c r="C889" s="7" t="s">
        <v>327</v>
      </c>
      <c r="D889" s="7" t="s">
        <v>3623</v>
      </c>
      <c r="E889" s="7" t="s">
        <v>3624</v>
      </c>
      <c r="F889" s="7" t="s">
        <v>25</v>
      </c>
      <c r="G889" s="7" t="s">
        <v>25</v>
      </c>
      <c r="H889" s="8">
        <v>1650</v>
      </c>
      <c r="I889" s="7"/>
      <c r="J889" s="7"/>
      <c r="K889" s="7"/>
      <c r="L889" s="8"/>
      <c r="M889" s="8"/>
      <c r="N889" s="7"/>
      <c r="O889" s="7"/>
      <c r="P889" s="7" t="s">
        <v>87</v>
      </c>
      <c r="Q889" s="9">
        <v>46149</v>
      </c>
      <c r="R889" s="7" t="s">
        <v>290</v>
      </c>
      <c r="S889" s="10" t="s">
        <v>3625</v>
      </c>
    </row>
    <row r="890" spans="1:19" ht="81" x14ac:dyDescent="0.25">
      <c r="A890" s="17" t="s">
        <v>3626</v>
      </c>
      <c r="B890" s="7" t="s">
        <v>3627</v>
      </c>
      <c r="C890" s="7" t="s">
        <v>327</v>
      </c>
      <c r="D890" s="7" t="s">
        <v>3628</v>
      </c>
      <c r="E890" s="7" t="s">
        <v>3629</v>
      </c>
      <c r="F890" s="7" t="s">
        <v>25</v>
      </c>
      <c r="G890" s="7" t="s">
        <v>25</v>
      </c>
      <c r="H890" s="8">
        <v>430</v>
      </c>
      <c r="I890" s="7"/>
      <c r="J890" s="7"/>
      <c r="K890" s="7"/>
      <c r="L890" s="8"/>
      <c r="M890" s="8"/>
      <c r="N890" s="7"/>
      <c r="O890" s="7"/>
      <c r="P890" s="7" t="s">
        <v>87</v>
      </c>
      <c r="Q890" s="9">
        <v>46095</v>
      </c>
      <c r="R890" s="7" t="s">
        <v>290</v>
      </c>
      <c r="S890" s="10" t="s">
        <v>3630</v>
      </c>
    </row>
    <row r="891" spans="1:19" ht="81" x14ac:dyDescent="0.25">
      <c r="A891" s="17" t="s">
        <v>3631</v>
      </c>
      <c r="B891" s="7" t="s">
        <v>3632</v>
      </c>
      <c r="C891" s="7" t="s">
        <v>420</v>
      </c>
      <c r="D891" s="7" t="s">
        <v>3633</v>
      </c>
      <c r="E891" s="7" t="s">
        <v>361</v>
      </c>
      <c r="F891" s="7" t="s">
        <v>25</v>
      </c>
      <c r="G891" s="7" t="s">
        <v>25</v>
      </c>
      <c r="H891" s="8">
        <v>1000</v>
      </c>
      <c r="I891" s="7"/>
      <c r="J891" s="7"/>
      <c r="K891" s="7"/>
      <c r="L891" s="8"/>
      <c r="M891" s="8"/>
      <c r="N891" s="7"/>
      <c r="O891" s="7"/>
      <c r="P891" s="7" t="s">
        <v>87</v>
      </c>
      <c r="Q891" s="9">
        <v>46126</v>
      </c>
      <c r="R891" s="7" t="s">
        <v>290</v>
      </c>
      <c r="S891" s="10" t="s">
        <v>3634</v>
      </c>
    </row>
    <row r="892" spans="1:19" ht="54" x14ac:dyDescent="0.25">
      <c r="A892" s="17" t="s">
        <v>3635</v>
      </c>
      <c r="B892" s="7" t="s">
        <v>3636</v>
      </c>
      <c r="C892" s="7" t="s">
        <v>437</v>
      </c>
      <c r="D892" s="7" t="s">
        <v>3637</v>
      </c>
      <c r="E892" s="7" t="s">
        <v>439</v>
      </c>
      <c r="F892" s="7" t="s">
        <v>289</v>
      </c>
      <c r="G892" s="7" t="s">
        <v>289</v>
      </c>
      <c r="H892" s="8">
        <v>1</v>
      </c>
      <c r="I892" s="7"/>
      <c r="J892" s="7"/>
      <c r="K892" s="7"/>
      <c r="L892" s="8"/>
      <c r="M892" s="8"/>
      <c r="N892" s="7"/>
      <c r="O892" s="7"/>
      <c r="P892" s="7" t="s">
        <v>87</v>
      </c>
      <c r="Q892" s="9">
        <v>46121</v>
      </c>
      <c r="R892" s="7" t="s">
        <v>290</v>
      </c>
      <c r="S892" s="10" t="s">
        <v>3638</v>
      </c>
    </row>
    <row r="893" spans="1:19" ht="27" x14ac:dyDescent="0.25">
      <c r="A893" s="17" t="s">
        <v>3639</v>
      </c>
      <c r="B893" s="7" t="s">
        <v>3640</v>
      </c>
      <c r="C893" s="7" t="s">
        <v>437</v>
      </c>
      <c r="D893" s="7"/>
      <c r="E893" s="7"/>
      <c r="F893" s="7" t="s">
        <v>289</v>
      </c>
      <c r="G893" s="7" t="s">
        <v>289</v>
      </c>
      <c r="H893" s="8"/>
      <c r="I893" s="7"/>
      <c r="J893" s="7"/>
      <c r="K893" s="7"/>
      <c r="L893" s="8"/>
      <c r="M893" s="8"/>
      <c r="N893" s="7"/>
      <c r="O893" s="7"/>
      <c r="P893" s="7" t="s">
        <v>87</v>
      </c>
      <c r="Q893" s="9">
        <v>46219</v>
      </c>
      <c r="R893" s="7" t="s">
        <v>290</v>
      </c>
      <c r="S893" s="10" t="s">
        <v>3641</v>
      </c>
    </row>
    <row r="894" spans="1:19" ht="27" x14ac:dyDescent="0.25">
      <c r="A894" s="17" t="s">
        <v>3642</v>
      </c>
      <c r="B894" s="7" t="s">
        <v>3643</v>
      </c>
      <c r="C894" s="7" t="s">
        <v>437</v>
      </c>
      <c r="D894" s="7"/>
      <c r="E894" s="7"/>
      <c r="F894" s="7" t="s">
        <v>289</v>
      </c>
      <c r="G894" s="7" t="s">
        <v>289</v>
      </c>
      <c r="H894" s="8"/>
      <c r="I894" s="7"/>
      <c r="J894" s="7"/>
      <c r="K894" s="7"/>
      <c r="L894" s="8"/>
      <c r="M894" s="8"/>
      <c r="N894" s="7"/>
      <c r="O894" s="7"/>
      <c r="P894" s="7" t="s">
        <v>87</v>
      </c>
      <c r="Q894" s="9">
        <v>46219</v>
      </c>
      <c r="R894" s="7" t="s">
        <v>290</v>
      </c>
      <c r="S894" s="10" t="s">
        <v>3644</v>
      </c>
    </row>
    <row r="895" spans="1:19" ht="54" x14ac:dyDescent="0.25">
      <c r="A895" s="17" t="s">
        <v>3645</v>
      </c>
      <c r="B895" s="7" t="s">
        <v>3646</v>
      </c>
      <c r="C895" s="7" t="s">
        <v>437</v>
      </c>
      <c r="D895" s="7" t="s">
        <v>3647</v>
      </c>
      <c r="E895" s="7" t="s">
        <v>439</v>
      </c>
      <c r="F895" s="7" t="s">
        <v>289</v>
      </c>
      <c r="G895" s="7" t="s">
        <v>289</v>
      </c>
      <c r="H895" s="8">
        <v>1</v>
      </c>
      <c r="I895" s="7"/>
      <c r="J895" s="7"/>
      <c r="K895" s="7"/>
      <c r="L895" s="8"/>
      <c r="M895" s="8"/>
      <c r="N895" s="7"/>
      <c r="O895" s="7"/>
      <c r="P895" s="7" t="s">
        <v>87</v>
      </c>
      <c r="Q895" s="9">
        <v>46121</v>
      </c>
      <c r="R895" s="7" t="s">
        <v>290</v>
      </c>
      <c r="S895" s="10" t="s">
        <v>3648</v>
      </c>
    </row>
    <row r="896" spans="1:19" ht="54" x14ac:dyDescent="0.25">
      <c r="A896" s="17" t="s">
        <v>3649</v>
      </c>
      <c r="B896" s="7" t="s">
        <v>3650</v>
      </c>
      <c r="C896" s="7" t="s">
        <v>437</v>
      </c>
      <c r="D896" s="7" t="s">
        <v>3651</v>
      </c>
      <c r="E896" s="7" t="s">
        <v>439</v>
      </c>
      <c r="F896" s="7" t="s">
        <v>289</v>
      </c>
      <c r="G896" s="7" t="s">
        <v>289</v>
      </c>
      <c r="H896" s="8">
        <v>1</v>
      </c>
      <c r="I896" s="7"/>
      <c r="J896" s="7"/>
      <c r="K896" s="7"/>
      <c r="L896" s="8"/>
      <c r="M896" s="8"/>
      <c r="N896" s="7"/>
      <c r="O896" s="7"/>
      <c r="P896" s="7" t="s">
        <v>87</v>
      </c>
      <c r="Q896" s="9">
        <v>46105</v>
      </c>
      <c r="R896" s="7" t="s">
        <v>290</v>
      </c>
      <c r="S896" s="10" t="s">
        <v>3652</v>
      </c>
    </row>
    <row r="897" spans="1:19" ht="54" x14ac:dyDescent="0.25">
      <c r="A897" s="17" t="s">
        <v>3653</v>
      </c>
      <c r="B897" s="7" t="s">
        <v>3654</v>
      </c>
      <c r="C897" s="7" t="s">
        <v>437</v>
      </c>
      <c r="D897" s="7" t="s">
        <v>3655</v>
      </c>
      <c r="E897" s="7" t="s">
        <v>439</v>
      </c>
      <c r="F897" s="7" t="s">
        <v>289</v>
      </c>
      <c r="G897" s="7" t="s">
        <v>289</v>
      </c>
      <c r="H897" s="8">
        <v>1</v>
      </c>
      <c r="I897" s="7"/>
      <c r="J897" s="7"/>
      <c r="K897" s="7"/>
      <c r="L897" s="8"/>
      <c r="M897" s="8"/>
      <c r="N897" s="7"/>
      <c r="O897" s="7"/>
      <c r="P897" s="7" t="s">
        <v>87</v>
      </c>
      <c r="Q897" s="9">
        <v>46121</v>
      </c>
      <c r="R897" s="7" t="s">
        <v>290</v>
      </c>
      <c r="S897" s="10" t="s">
        <v>3656</v>
      </c>
    </row>
    <row r="898" spans="1:19" ht="54" x14ac:dyDescent="0.25">
      <c r="A898" s="17" t="s">
        <v>3657</v>
      </c>
      <c r="B898" s="7" t="s">
        <v>3658</v>
      </c>
      <c r="C898" s="7" t="s">
        <v>437</v>
      </c>
      <c r="D898" s="7" t="s">
        <v>3659</v>
      </c>
      <c r="E898" s="7" t="s">
        <v>439</v>
      </c>
      <c r="F898" s="7" t="s">
        <v>289</v>
      </c>
      <c r="G898" s="7" t="s">
        <v>289</v>
      </c>
      <c r="H898" s="8">
        <v>1</v>
      </c>
      <c r="I898" s="7"/>
      <c r="J898" s="7"/>
      <c r="K898" s="7"/>
      <c r="L898" s="8"/>
      <c r="M898" s="8"/>
      <c r="N898" s="7"/>
      <c r="O898" s="7"/>
      <c r="P898" s="7" t="s">
        <v>87</v>
      </c>
      <c r="Q898" s="9">
        <v>46105</v>
      </c>
      <c r="R898" s="7" t="s">
        <v>290</v>
      </c>
      <c r="S898" s="10" t="s">
        <v>3660</v>
      </c>
    </row>
    <row r="899" spans="1:19" ht="54" x14ac:dyDescent="0.25">
      <c r="A899" s="17" t="s">
        <v>3661</v>
      </c>
      <c r="B899" s="7" t="s">
        <v>3662</v>
      </c>
      <c r="C899" s="7" t="s">
        <v>437</v>
      </c>
      <c r="D899" s="7" t="s">
        <v>3663</v>
      </c>
      <c r="E899" s="7" t="s">
        <v>439</v>
      </c>
      <c r="F899" s="7" t="s">
        <v>289</v>
      </c>
      <c r="G899" s="7" t="s">
        <v>289</v>
      </c>
      <c r="H899" s="8">
        <v>1</v>
      </c>
      <c r="I899" s="7"/>
      <c r="J899" s="7"/>
      <c r="K899" s="7"/>
      <c r="L899" s="8"/>
      <c r="M899" s="8"/>
      <c r="N899" s="7"/>
      <c r="O899" s="7"/>
      <c r="P899" s="7" t="s">
        <v>87</v>
      </c>
      <c r="Q899" s="9">
        <v>46121</v>
      </c>
      <c r="R899" s="7" t="s">
        <v>290</v>
      </c>
      <c r="S899" s="10" t="s">
        <v>3664</v>
      </c>
    </row>
    <row r="900" spans="1:19" ht="27" x14ac:dyDescent="0.25">
      <c r="A900" s="17" t="s">
        <v>3665</v>
      </c>
      <c r="B900" s="7" t="s">
        <v>3666</v>
      </c>
      <c r="C900" s="7" t="s">
        <v>437</v>
      </c>
      <c r="D900" s="7"/>
      <c r="E900" s="7"/>
      <c r="F900" s="7" t="s">
        <v>289</v>
      </c>
      <c r="G900" s="7" t="s">
        <v>289</v>
      </c>
      <c r="H900" s="8"/>
      <c r="I900" s="7"/>
      <c r="J900" s="7"/>
      <c r="K900" s="7"/>
      <c r="L900" s="8"/>
      <c r="M900" s="8"/>
      <c r="N900" s="7"/>
      <c r="O900" s="7"/>
      <c r="P900" s="7" t="s">
        <v>87</v>
      </c>
      <c r="Q900" s="9">
        <v>46219</v>
      </c>
      <c r="R900" s="7" t="s">
        <v>290</v>
      </c>
      <c r="S900" s="10" t="s">
        <v>3667</v>
      </c>
    </row>
    <row r="901" spans="1:19" ht="27" x14ac:dyDescent="0.25">
      <c r="A901" s="17" t="s">
        <v>3668</v>
      </c>
      <c r="B901" s="7" t="s">
        <v>3669</v>
      </c>
      <c r="C901" s="7" t="s">
        <v>692</v>
      </c>
      <c r="D901" s="7"/>
      <c r="E901" s="7"/>
      <c r="F901" s="7" t="s">
        <v>289</v>
      </c>
      <c r="G901" s="7" t="s">
        <v>289</v>
      </c>
      <c r="H901" s="8"/>
      <c r="I901" s="7"/>
      <c r="J901" s="7"/>
      <c r="K901" s="7"/>
      <c r="L901" s="8"/>
      <c r="M901" s="8"/>
      <c r="N901" s="7"/>
      <c r="O901" s="7"/>
      <c r="P901" s="7" t="s">
        <v>87</v>
      </c>
      <c r="Q901" s="9">
        <v>46165</v>
      </c>
      <c r="R901" s="7" t="s">
        <v>290</v>
      </c>
      <c r="S901" s="10" t="s">
        <v>3670</v>
      </c>
    </row>
    <row r="902" spans="1:19" ht="40.5" x14ac:dyDescent="0.25">
      <c r="A902" s="17" t="s">
        <v>3671</v>
      </c>
      <c r="B902" s="7" t="s">
        <v>3672</v>
      </c>
      <c r="C902" s="7" t="s">
        <v>288</v>
      </c>
      <c r="D902" s="7"/>
      <c r="E902" s="7"/>
      <c r="F902" s="7" t="s">
        <v>289</v>
      </c>
      <c r="G902" s="7" t="s">
        <v>289</v>
      </c>
      <c r="H902" s="8"/>
      <c r="I902" s="7"/>
      <c r="J902" s="7"/>
      <c r="K902" s="7"/>
      <c r="L902" s="8"/>
      <c r="M902" s="8"/>
      <c r="N902" s="7"/>
      <c r="O902" s="7"/>
      <c r="P902" s="7" t="s">
        <v>87</v>
      </c>
      <c r="Q902" s="9">
        <v>46226</v>
      </c>
      <c r="R902" s="7" t="s">
        <v>290</v>
      </c>
      <c r="S902" s="10" t="s">
        <v>3673</v>
      </c>
    </row>
    <row r="903" spans="1:19" ht="81" x14ac:dyDescent="0.25">
      <c r="A903" s="17" t="s">
        <v>3674</v>
      </c>
      <c r="B903" s="7" t="s">
        <v>3675</v>
      </c>
      <c r="C903" s="7" t="s">
        <v>1154</v>
      </c>
      <c r="D903" s="7" t="s">
        <v>3676</v>
      </c>
      <c r="E903" s="7" t="s">
        <v>776</v>
      </c>
      <c r="F903" s="7" t="s">
        <v>289</v>
      </c>
      <c r="G903" s="7" t="s">
        <v>289</v>
      </c>
      <c r="H903" s="8">
        <v>1</v>
      </c>
      <c r="I903" s="7"/>
      <c r="J903" s="7"/>
      <c r="K903" s="7"/>
      <c r="L903" s="8"/>
      <c r="M903" s="8"/>
      <c r="N903" s="7"/>
      <c r="O903" s="7"/>
      <c r="P903" s="7" t="s">
        <v>87</v>
      </c>
      <c r="Q903" s="9">
        <v>46097</v>
      </c>
      <c r="R903" s="7" t="s">
        <v>290</v>
      </c>
      <c r="S903" s="10" t="s">
        <v>3677</v>
      </c>
    </row>
    <row r="904" spans="1:19" ht="67.5" x14ac:dyDescent="0.25">
      <c r="A904" s="17" t="s">
        <v>3678</v>
      </c>
      <c r="B904" s="7" t="s">
        <v>3679</v>
      </c>
      <c r="C904" s="7" t="s">
        <v>2545</v>
      </c>
      <c r="D904" s="7" t="s">
        <v>3680</v>
      </c>
      <c r="E904" s="7" t="s">
        <v>651</v>
      </c>
      <c r="F904" s="7" t="s">
        <v>289</v>
      </c>
      <c r="G904" s="7" t="s">
        <v>289</v>
      </c>
      <c r="H904" s="8">
        <v>5</v>
      </c>
      <c r="I904" s="7"/>
      <c r="J904" s="7"/>
      <c r="K904" s="7"/>
      <c r="L904" s="8"/>
      <c r="M904" s="8"/>
      <c r="N904" s="7"/>
      <c r="O904" s="7"/>
      <c r="P904" s="7" t="s">
        <v>87</v>
      </c>
      <c r="Q904" s="9">
        <v>46097</v>
      </c>
      <c r="R904" s="7" t="s">
        <v>290</v>
      </c>
      <c r="S904" s="10" t="s">
        <v>3681</v>
      </c>
    </row>
    <row r="905" spans="1:19" ht="27" x14ac:dyDescent="0.25">
      <c r="A905" s="17" t="s">
        <v>3682</v>
      </c>
      <c r="B905" s="7" t="s">
        <v>3683</v>
      </c>
      <c r="C905" s="7" t="s">
        <v>294</v>
      </c>
      <c r="D905" s="7"/>
      <c r="E905" s="7"/>
      <c r="F905" s="7" t="s">
        <v>289</v>
      </c>
      <c r="G905" s="7" t="s">
        <v>289</v>
      </c>
      <c r="H905" s="8"/>
      <c r="I905" s="7"/>
      <c r="J905" s="7"/>
      <c r="K905" s="7"/>
      <c r="L905" s="8"/>
      <c r="M905" s="8"/>
      <c r="N905" s="7"/>
      <c r="O905" s="7"/>
      <c r="P905" s="7" t="s">
        <v>87</v>
      </c>
      <c r="Q905" s="9">
        <v>46133</v>
      </c>
      <c r="R905" s="7" t="s">
        <v>290</v>
      </c>
      <c r="S905" s="10" t="s">
        <v>3684</v>
      </c>
    </row>
    <row r="906" spans="1:19" ht="54" x14ac:dyDescent="0.25">
      <c r="A906" s="17" t="s">
        <v>3685</v>
      </c>
      <c r="B906" s="7" t="s">
        <v>3686</v>
      </c>
      <c r="C906" s="7" t="s">
        <v>294</v>
      </c>
      <c r="D906" s="7" t="s">
        <v>3687</v>
      </c>
      <c r="E906" s="7" t="s">
        <v>439</v>
      </c>
      <c r="F906" s="7" t="s">
        <v>289</v>
      </c>
      <c r="G906" s="7" t="s">
        <v>289</v>
      </c>
      <c r="H906" s="8">
        <v>1</v>
      </c>
      <c r="I906" s="7"/>
      <c r="J906" s="7"/>
      <c r="K906" s="7"/>
      <c r="L906" s="8"/>
      <c r="M906" s="8"/>
      <c r="N906" s="7"/>
      <c r="O906" s="7"/>
      <c r="P906" s="7" t="s">
        <v>87</v>
      </c>
      <c r="Q906" s="9">
        <v>46105</v>
      </c>
      <c r="R906" s="7" t="s">
        <v>290</v>
      </c>
      <c r="S906" s="10" t="s">
        <v>3688</v>
      </c>
    </row>
    <row r="907" spans="1:19" ht="54" x14ac:dyDescent="0.25">
      <c r="A907" s="17" t="s">
        <v>3689</v>
      </c>
      <c r="B907" s="7" t="s">
        <v>3690</v>
      </c>
      <c r="C907" s="7" t="s">
        <v>294</v>
      </c>
      <c r="D907" s="7" t="s">
        <v>3691</v>
      </c>
      <c r="E907" s="7" t="s">
        <v>439</v>
      </c>
      <c r="F907" s="7" t="s">
        <v>289</v>
      </c>
      <c r="G907" s="7" t="s">
        <v>289</v>
      </c>
      <c r="H907" s="8">
        <v>1</v>
      </c>
      <c r="I907" s="7"/>
      <c r="J907" s="7"/>
      <c r="K907" s="7"/>
      <c r="L907" s="8"/>
      <c r="M907" s="8"/>
      <c r="N907" s="7"/>
      <c r="O907" s="7"/>
      <c r="P907" s="7" t="s">
        <v>87</v>
      </c>
      <c r="Q907" s="9">
        <v>46105</v>
      </c>
      <c r="R907" s="7" t="s">
        <v>290</v>
      </c>
      <c r="S907" s="10" t="s">
        <v>3692</v>
      </c>
    </row>
    <row r="908" spans="1:19" ht="27" x14ac:dyDescent="0.25">
      <c r="A908" s="58" t="s">
        <v>3693</v>
      </c>
      <c r="B908" s="7" t="s">
        <v>3694</v>
      </c>
      <c r="C908" s="7" t="s">
        <v>692</v>
      </c>
      <c r="D908" s="7"/>
      <c r="E908" s="7"/>
      <c r="F908" s="7" t="s">
        <v>289</v>
      </c>
      <c r="G908" s="7" t="s">
        <v>289</v>
      </c>
      <c r="H908" s="8"/>
      <c r="I908" s="7"/>
      <c r="J908" s="7"/>
      <c r="K908" s="7"/>
      <c r="L908" s="8"/>
      <c r="M908" s="8"/>
      <c r="N908" s="7"/>
      <c r="O908" s="7"/>
      <c r="P908" s="7" t="s">
        <v>87</v>
      </c>
      <c r="Q908" s="9">
        <v>46133</v>
      </c>
      <c r="R908" s="7" t="s">
        <v>290</v>
      </c>
      <c r="S908" s="10" t="s">
        <v>3695</v>
      </c>
    </row>
    <row r="909" spans="1:19" ht="27" x14ac:dyDescent="0.25">
      <c r="A909" s="17" t="s">
        <v>3696</v>
      </c>
      <c r="B909" s="7" t="s">
        <v>3697</v>
      </c>
      <c r="C909" s="7" t="s">
        <v>701</v>
      </c>
      <c r="D909" s="7"/>
      <c r="E909" s="7"/>
      <c r="F909" s="7" t="s">
        <v>289</v>
      </c>
      <c r="G909" s="7" t="s">
        <v>289</v>
      </c>
      <c r="H909" s="8"/>
      <c r="I909" s="7"/>
      <c r="J909" s="7"/>
      <c r="K909" s="7"/>
      <c r="L909" s="8"/>
      <c r="M909" s="8"/>
      <c r="N909" s="7"/>
      <c r="O909" s="7"/>
      <c r="P909" s="7" t="s">
        <v>87</v>
      </c>
      <c r="Q909" s="9">
        <v>46196</v>
      </c>
      <c r="R909" s="7" t="s">
        <v>290</v>
      </c>
      <c r="S909" s="10" t="s">
        <v>3698</v>
      </c>
    </row>
    <row r="910" spans="1:19" ht="67.5" x14ac:dyDescent="0.25">
      <c r="A910" s="17" t="s">
        <v>3699</v>
      </c>
      <c r="B910" s="7" t="s">
        <v>3700</v>
      </c>
      <c r="C910" s="7" t="s">
        <v>1138</v>
      </c>
      <c r="D910" s="7" t="s">
        <v>3701</v>
      </c>
      <c r="E910" s="7" t="s">
        <v>439</v>
      </c>
      <c r="F910" s="7" t="s">
        <v>289</v>
      </c>
      <c r="G910" s="7" t="s">
        <v>289</v>
      </c>
      <c r="H910" s="8">
        <v>1</v>
      </c>
      <c r="I910" s="7"/>
      <c r="J910" s="7"/>
      <c r="K910" s="7"/>
      <c r="L910" s="8"/>
      <c r="M910" s="8"/>
      <c r="N910" s="7"/>
      <c r="O910" s="7"/>
      <c r="P910" s="7" t="s">
        <v>87</v>
      </c>
      <c r="Q910" s="9">
        <v>46097</v>
      </c>
      <c r="R910" s="7" t="s">
        <v>290</v>
      </c>
      <c r="S910" s="10" t="s">
        <v>3702</v>
      </c>
    </row>
    <row r="911" spans="1:19" ht="81" x14ac:dyDescent="0.25">
      <c r="A911" s="17" t="s">
        <v>3703</v>
      </c>
      <c r="B911" s="7" t="s">
        <v>3704</v>
      </c>
      <c r="C911" s="7" t="s">
        <v>774</v>
      </c>
      <c r="D911" s="7" t="s">
        <v>3705</v>
      </c>
      <c r="E911" s="7" t="s">
        <v>1686</v>
      </c>
      <c r="F911" s="7" t="s">
        <v>25</v>
      </c>
      <c r="G911" s="7" t="s">
        <v>25</v>
      </c>
      <c r="H911" s="8">
        <v>1000</v>
      </c>
      <c r="I911" s="7"/>
      <c r="J911" s="7"/>
      <c r="K911" s="7"/>
      <c r="L911" s="8"/>
      <c r="M911" s="8"/>
      <c r="N911" s="7"/>
      <c r="O911" s="7"/>
      <c r="P911" s="7" t="s">
        <v>87</v>
      </c>
      <c r="Q911" s="9">
        <v>46172</v>
      </c>
      <c r="R911" s="7" t="s">
        <v>290</v>
      </c>
      <c r="S911" s="10" t="s">
        <v>3706</v>
      </c>
    </row>
    <row r="912" spans="1:19" ht="81" x14ac:dyDescent="0.25">
      <c r="A912" s="17" t="s">
        <v>3707</v>
      </c>
      <c r="B912" s="7" t="s">
        <v>3708</v>
      </c>
      <c r="C912" s="7" t="s">
        <v>500</v>
      </c>
      <c r="D912" s="7" t="s">
        <v>3709</v>
      </c>
      <c r="E912" s="7" t="s">
        <v>361</v>
      </c>
      <c r="F912" s="7" t="s">
        <v>25</v>
      </c>
      <c r="G912" s="7" t="s">
        <v>25</v>
      </c>
      <c r="H912" s="8">
        <v>1000</v>
      </c>
      <c r="I912" s="7"/>
      <c r="J912" s="7"/>
      <c r="K912" s="7"/>
      <c r="L912" s="8"/>
      <c r="M912" s="8"/>
      <c r="N912" s="7"/>
      <c r="O912" s="7"/>
      <c r="P912" s="7" t="s">
        <v>87</v>
      </c>
      <c r="Q912" s="9">
        <v>46126</v>
      </c>
      <c r="R912" s="7" t="s">
        <v>290</v>
      </c>
      <c r="S912" s="10" t="s">
        <v>3710</v>
      </c>
    </row>
    <row r="913" spans="1:19" ht="81" x14ac:dyDescent="0.25">
      <c r="A913" s="17" t="s">
        <v>3711</v>
      </c>
      <c r="B913" s="7" t="s">
        <v>3712</v>
      </c>
      <c r="C913" s="7" t="s">
        <v>411</v>
      </c>
      <c r="D913" s="7" t="s">
        <v>3713</v>
      </c>
      <c r="E913" s="7" t="s">
        <v>361</v>
      </c>
      <c r="F913" s="7" t="s">
        <v>25</v>
      </c>
      <c r="G913" s="7" t="s">
        <v>25</v>
      </c>
      <c r="H913" s="8">
        <v>1000</v>
      </c>
      <c r="I913" s="7"/>
      <c r="J913" s="7"/>
      <c r="K913" s="7"/>
      <c r="L913" s="8"/>
      <c r="M913" s="8"/>
      <c r="N913" s="7"/>
      <c r="O913" s="7"/>
      <c r="P913" s="7" t="s">
        <v>87</v>
      </c>
      <c r="Q913" s="9">
        <v>46172</v>
      </c>
      <c r="R913" s="7" t="s">
        <v>290</v>
      </c>
      <c r="S913" s="10" t="s">
        <v>3714</v>
      </c>
    </row>
    <row r="914" spans="1:19" ht="81" x14ac:dyDescent="0.25">
      <c r="A914" s="17" t="s">
        <v>3715</v>
      </c>
      <c r="B914" s="7" t="s">
        <v>3716</v>
      </c>
      <c r="C914" s="7" t="s">
        <v>475</v>
      </c>
      <c r="D914" s="7" t="s">
        <v>3717</v>
      </c>
      <c r="E914" s="7" t="s">
        <v>3718</v>
      </c>
      <c r="F914" s="7" t="s">
        <v>289</v>
      </c>
      <c r="G914" s="7" t="s">
        <v>289</v>
      </c>
      <c r="H914" s="8">
        <v>1</v>
      </c>
      <c r="I914" s="7"/>
      <c r="J914" s="7"/>
      <c r="K914" s="7"/>
      <c r="L914" s="8"/>
      <c r="M914" s="8"/>
      <c r="N914" s="7"/>
      <c r="O914" s="7"/>
      <c r="P914" s="7" t="s">
        <v>87</v>
      </c>
      <c r="Q914" s="9">
        <v>46109</v>
      </c>
      <c r="R914" s="7" t="s">
        <v>290</v>
      </c>
      <c r="S914" s="10" t="s">
        <v>3719</v>
      </c>
    </row>
    <row r="915" spans="1:19" ht="81" x14ac:dyDescent="0.25">
      <c r="A915" s="17" t="s">
        <v>3720</v>
      </c>
      <c r="B915" s="7" t="s">
        <v>3721</v>
      </c>
      <c r="C915" s="7" t="s">
        <v>431</v>
      </c>
      <c r="D915" s="7" t="s">
        <v>3722</v>
      </c>
      <c r="E915" s="7" t="s">
        <v>1946</v>
      </c>
      <c r="F915" s="7" t="s">
        <v>308</v>
      </c>
      <c r="G915" s="7" t="s">
        <v>308</v>
      </c>
      <c r="H915" s="8">
        <v>1000</v>
      </c>
      <c r="I915" s="7"/>
      <c r="J915" s="7"/>
      <c r="K915" s="7"/>
      <c r="L915" s="8"/>
      <c r="M915" s="8"/>
      <c r="N915" s="7"/>
      <c r="O915" s="7"/>
      <c r="P915" s="7" t="s">
        <v>87</v>
      </c>
      <c r="Q915" s="9">
        <v>46126</v>
      </c>
      <c r="R915" s="7" t="s">
        <v>290</v>
      </c>
      <c r="S915" s="10" t="s">
        <v>3723</v>
      </c>
    </row>
    <row r="916" spans="1:19" ht="81" x14ac:dyDescent="0.25">
      <c r="A916" s="17" t="s">
        <v>3724</v>
      </c>
      <c r="B916" s="7" t="s">
        <v>3725</v>
      </c>
      <c r="C916" s="7" t="s">
        <v>2468</v>
      </c>
      <c r="D916" s="7" t="s">
        <v>3726</v>
      </c>
      <c r="E916" s="7" t="s">
        <v>439</v>
      </c>
      <c r="F916" s="7" t="s">
        <v>289</v>
      </c>
      <c r="G916" s="7" t="s">
        <v>289</v>
      </c>
      <c r="H916" s="8">
        <v>1</v>
      </c>
      <c r="I916" s="7"/>
      <c r="J916" s="7"/>
      <c r="K916" s="7"/>
      <c r="L916" s="8"/>
      <c r="M916" s="8"/>
      <c r="N916" s="7"/>
      <c r="O916" s="7"/>
      <c r="P916" s="7" t="s">
        <v>87</v>
      </c>
      <c r="Q916" s="9">
        <v>46126</v>
      </c>
      <c r="R916" s="7" t="s">
        <v>290</v>
      </c>
      <c r="S916" s="10" t="s">
        <v>3727</v>
      </c>
    </row>
    <row r="917" spans="1:19" ht="40.5" x14ac:dyDescent="0.25">
      <c r="A917" s="17" t="s">
        <v>3728</v>
      </c>
      <c r="B917" s="7" t="s">
        <v>3729</v>
      </c>
      <c r="C917" s="7" t="s">
        <v>378</v>
      </c>
      <c r="D917" s="7"/>
      <c r="E917" s="7"/>
      <c r="F917" s="7" t="s">
        <v>289</v>
      </c>
      <c r="G917" s="7" t="s">
        <v>289</v>
      </c>
      <c r="H917" s="8"/>
      <c r="I917" s="7"/>
      <c r="J917" s="7"/>
      <c r="K917" s="7"/>
      <c r="L917" s="8"/>
      <c r="M917" s="8"/>
      <c r="N917" s="7"/>
      <c r="O917" s="7"/>
      <c r="P917" s="7" t="s">
        <v>87</v>
      </c>
      <c r="Q917" s="9">
        <v>46192</v>
      </c>
      <c r="R917" s="7" t="s">
        <v>290</v>
      </c>
      <c r="S917" s="10" t="s">
        <v>3730</v>
      </c>
    </row>
    <row r="918" spans="1:19" ht="40.5" x14ac:dyDescent="0.25">
      <c r="A918" s="17" t="s">
        <v>3731</v>
      </c>
      <c r="B918" s="7" t="s">
        <v>3732</v>
      </c>
      <c r="C918" s="7" t="s">
        <v>378</v>
      </c>
      <c r="D918" s="7"/>
      <c r="E918" s="7"/>
      <c r="F918" s="7" t="s">
        <v>289</v>
      </c>
      <c r="G918" s="7" t="s">
        <v>289</v>
      </c>
      <c r="H918" s="8"/>
      <c r="I918" s="7"/>
      <c r="J918" s="7"/>
      <c r="K918" s="7"/>
      <c r="L918" s="8"/>
      <c r="M918" s="8"/>
      <c r="N918" s="7"/>
      <c r="O918" s="7"/>
      <c r="P918" s="7" t="s">
        <v>87</v>
      </c>
      <c r="Q918" s="9">
        <v>46192</v>
      </c>
      <c r="R918" s="7" t="s">
        <v>290</v>
      </c>
      <c r="S918" s="10" t="s">
        <v>3733</v>
      </c>
    </row>
    <row r="919" spans="1:19" ht="81" x14ac:dyDescent="0.25">
      <c r="A919" s="17" t="s">
        <v>3734</v>
      </c>
      <c r="B919" s="7" t="s">
        <v>3735</v>
      </c>
      <c r="C919" s="7" t="s">
        <v>2468</v>
      </c>
      <c r="D919" s="7" t="s">
        <v>3736</v>
      </c>
      <c r="E919" s="7" t="s">
        <v>651</v>
      </c>
      <c r="F919" s="7" t="s">
        <v>289</v>
      </c>
      <c r="G919" s="7" t="s">
        <v>289</v>
      </c>
      <c r="H919" s="8">
        <v>50</v>
      </c>
      <c r="I919" s="7"/>
      <c r="J919" s="7"/>
      <c r="K919" s="7"/>
      <c r="L919" s="8"/>
      <c r="M919" s="8"/>
      <c r="N919" s="7"/>
      <c r="O919" s="7"/>
      <c r="P919" s="7" t="s">
        <v>87</v>
      </c>
      <c r="Q919" s="9">
        <v>46097</v>
      </c>
      <c r="R919" s="7" t="s">
        <v>290</v>
      </c>
      <c r="S919" s="10" t="s">
        <v>3737</v>
      </c>
    </row>
    <row r="920" spans="1:19" ht="81" x14ac:dyDescent="0.25">
      <c r="A920" s="17" t="s">
        <v>3738</v>
      </c>
      <c r="B920" s="7" t="s">
        <v>3739</v>
      </c>
      <c r="C920" s="7" t="s">
        <v>2468</v>
      </c>
      <c r="D920" s="7" t="s">
        <v>3740</v>
      </c>
      <c r="E920" s="7" t="s">
        <v>592</v>
      </c>
      <c r="F920" s="7" t="s">
        <v>289</v>
      </c>
      <c r="G920" s="7" t="s">
        <v>289</v>
      </c>
      <c r="H920" s="8">
        <v>50</v>
      </c>
      <c r="I920" s="7"/>
      <c r="J920" s="7"/>
      <c r="K920" s="7"/>
      <c r="L920" s="8"/>
      <c r="M920" s="8"/>
      <c r="N920" s="7"/>
      <c r="O920" s="7"/>
      <c r="P920" s="7" t="s">
        <v>87</v>
      </c>
      <c r="Q920" s="9">
        <v>46097</v>
      </c>
      <c r="R920" s="7" t="s">
        <v>290</v>
      </c>
      <c r="S920" s="10" t="s">
        <v>3741</v>
      </c>
    </row>
    <row r="921" spans="1:19" ht="81" x14ac:dyDescent="0.25">
      <c r="A921" s="17" t="s">
        <v>3742</v>
      </c>
      <c r="B921" s="7" t="s">
        <v>3743</v>
      </c>
      <c r="C921" s="7" t="s">
        <v>2468</v>
      </c>
      <c r="D921" s="7" t="s">
        <v>3744</v>
      </c>
      <c r="E921" s="7" t="s">
        <v>651</v>
      </c>
      <c r="F921" s="7" t="s">
        <v>289</v>
      </c>
      <c r="G921" s="7" t="s">
        <v>289</v>
      </c>
      <c r="H921" s="8">
        <v>50</v>
      </c>
      <c r="I921" s="7"/>
      <c r="J921" s="7"/>
      <c r="K921" s="7"/>
      <c r="L921" s="8"/>
      <c r="M921" s="8"/>
      <c r="N921" s="7"/>
      <c r="O921" s="7"/>
      <c r="P921" s="7" t="s">
        <v>87</v>
      </c>
      <c r="Q921" s="9">
        <v>46097</v>
      </c>
      <c r="R921" s="7" t="s">
        <v>290</v>
      </c>
      <c r="S921" s="10" t="s">
        <v>3745</v>
      </c>
    </row>
    <row r="922" spans="1:19" ht="81" x14ac:dyDescent="0.25">
      <c r="A922" s="17" t="s">
        <v>3746</v>
      </c>
      <c r="B922" s="7" t="s">
        <v>3747</v>
      </c>
      <c r="C922" s="7" t="s">
        <v>2468</v>
      </c>
      <c r="D922" s="7" t="s">
        <v>3748</v>
      </c>
      <c r="E922" s="7" t="s">
        <v>439</v>
      </c>
      <c r="F922" s="7" t="s">
        <v>289</v>
      </c>
      <c r="G922" s="7" t="s">
        <v>289</v>
      </c>
      <c r="H922" s="8">
        <v>1</v>
      </c>
      <c r="I922" s="7"/>
      <c r="J922" s="7"/>
      <c r="K922" s="7"/>
      <c r="L922" s="8"/>
      <c r="M922" s="8"/>
      <c r="N922" s="7"/>
      <c r="O922" s="7"/>
      <c r="P922" s="7" t="s">
        <v>87</v>
      </c>
      <c r="Q922" s="9">
        <v>46097</v>
      </c>
      <c r="R922" s="7" t="s">
        <v>290</v>
      </c>
      <c r="S922" s="10" t="s">
        <v>3749</v>
      </c>
    </row>
    <row r="923" spans="1:19" ht="81" x14ac:dyDescent="0.25">
      <c r="A923" s="17" t="s">
        <v>3750</v>
      </c>
      <c r="B923" s="7" t="s">
        <v>3751</v>
      </c>
      <c r="C923" s="7" t="s">
        <v>2468</v>
      </c>
      <c r="D923" s="7" t="s">
        <v>3752</v>
      </c>
      <c r="E923" s="7" t="s">
        <v>439</v>
      </c>
      <c r="F923" s="7" t="s">
        <v>289</v>
      </c>
      <c r="G923" s="7" t="s">
        <v>289</v>
      </c>
      <c r="H923" s="8">
        <v>1</v>
      </c>
      <c r="I923" s="7"/>
      <c r="J923" s="7"/>
      <c r="K923" s="7"/>
      <c r="L923" s="8"/>
      <c r="M923" s="8"/>
      <c r="N923" s="7"/>
      <c r="O923" s="7"/>
      <c r="P923" s="7" t="s">
        <v>87</v>
      </c>
      <c r="Q923" s="9">
        <v>46097</v>
      </c>
      <c r="R923" s="7" t="s">
        <v>290</v>
      </c>
      <c r="S923" s="10" t="s">
        <v>3753</v>
      </c>
    </row>
    <row r="924" spans="1:19" ht="81" x14ac:dyDescent="0.25">
      <c r="A924" s="17" t="s">
        <v>3754</v>
      </c>
      <c r="B924" s="7" t="s">
        <v>3755</v>
      </c>
      <c r="C924" s="7" t="s">
        <v>2468</v>
      </c>
      <c r="D924" s="7" t="s">
        <v>3756</v>
      </c>
      <c r="E924" s="7" t="s">
        <v>439</v>
      </c>
      <c r="F924" s="7" t="s">
        <v>289</v>
      </c>
      <c r="G924" s="7" t="s">
        <v>289</v>
      </c>
      <c r="H924" s="8">
        <v>1</v>
      </c>
      <c r="I924" s="7"/>
      <c r="J924" s="7"/>
      <c r="K924" s="7"/>
      <c r="L924" s="8"/>
      <c r="M924" s="8"/>
      <c r="N924" s="7"/>
      <c r="O924" s="7"/>
      <c r="P924" s="7" t="s">
        <v>87</v>
      </c>
      <c r="Q924" s="9">
        <v>46097</v>
      </c>
      <c r="R924" s="7" t="s">
        <v>290</v>
      </c>
      <c r="S924" s="10" t="s">
        <v>3757</v>
      </c>
    </row>
    <row r="925" spans="1:19" ht="81" x14ac:dyDescent="0.25">
      <c r="A925" s="17" t="s">
        <v>3758</v>
      </c>
      <c r="B925" s="7" t="s">
        <v>3759</v>
      </c>
      <c r="C925" s="7" t="s">
        <v>2468</v>
      </c>
      <c r="D925" s="7" t="s">
        <v>3760</v>
      </c>
      <c r="E925" s="7" t="s">
        <v>651</v>
      </c>
      <c r="F925" s="7" t="s">
        <v>289</v>
      </c>
      <c r="G925" s="7" t="s">
        <v>289</v>
      </c>
      <c r="H925" s="8">
        <v>50</v>
      </c>
      <c r="I925" s="7"/>
      <c r="J925" s="7"/>
      <c r="K925" s="7"/>
      <c r="L925" s="8"/>
      <c r="M925" s="8"/>
      <c r="N925" s="7"/>
      <c r="O925" s="7"/>
      <c r="P925" s="7" t="s">
        <v>87</v>
      </c>
      <c r="Q925" s="9">
        <v>46097</v>
      </c>
      <c r="R925" s="7" t="s">
        <v>290</v>
      </c>
      <c r="S925" s="10" t="s">
        <v>3761</v>
      </c>
    </row>
    <row r="926" spans="1:19" ht="40.5" x14ac:dyDescent="0.25">
      <c r="A926" s="17" t="s">
        <v>3762</v>
      </c>
      <c r="B926" s="7" t="s">
        <v>3763</v>
      </c>
      <c r="C926" s="7" t="s">
        <v>378</v>
      </c>
      <c r="D926" s="7"/>
      <c r="E926" s="7"/>
      <c r="F926" s="7" t="s">
        <v>289</v>
      </c>
      <c r="G926" s="7" t="s">
        <v>289</v>
      </c>
      <c r="H926" s="8"/>
      <c r="I926" s="7"/>
      <c r="J926" s="7"/>
      <c r="K926" s="7"/>
      <c r="L926" s="8"/>
      <c r="M926" s="8"/>
      <c r="N926" s="7"/>
      <c r="O926" s="7"/>
      <c r="P926" s="7" t="s">
        <v>87</v>
      </c>
      <c r="Q926" s="9">
        <v>46192</v>
      </c>
      <c r="R926" s="7" t="s">
        <v>290</v>
      </c>
      <c r="S926" s="10" t="s">
        <v>3764</v>
      </c>
    </row>
    <row r="927" spans="1:19" ht="81" x14ac:dyDescent="0.25">
      <c r="A927" s="17" t="s">
        <v>3765</v>
      </c>
      <c r="B927" s="7" t="s">
        <v>3766</v>
      </c>
      <c r="C927" s="7" t="s">
        <v>2468</v>
      </c>
      <c r="D927" s="7" t="s">
        <v>3767</v>
      </c>
      <c r="E927" s="7" t="s">
        <v>439</v>
      </c>
      <c r="F927" s="7" t="s">
        <v>289</v>
      </c>
      <c r="G927" s="7" t="s">
        <v>289</v>
      </c>
      <c r="H927" s="8">
        <v>1</v>
      </c>
      <c r="I927" s="7"/>
      <c r="J927" s="7"/>
      <c r="K927" s="7"/>
      <c r="L927" s="8"/>
      <c r="M927" s="8"/>
      <c r="N927" s="7"/>
      <c r="O927" s="7"/>
      <c r="P927" s="7" t="s">
        <v>87</v>
      </c>
      <c r="Q927" s="9">
        <v>46126</v>
      </c>
      <c r="R927" s="7" t="s">
        <v>290</v>
      </c>
      <c r="S927" s="10" t="s">
        <v>3768</v>
      </c>
    </row>
    <row r="928" spans="1:19" ht="81" x14ac:dyDescent="0.25">
      <c r="A928" s="17" t="s">
        <v>3769</v>
      </c>
      <c r="B928" s="7" t="s">
        <v>3770</v>
      </c>
      <c r="C928" s="7" t="s">
        <v>2468</v>
      </c>
      <c r="D928" s="7" t="s">
        <v>3771</v>
      </c>
      <c r="E928" s="7" t="s">
        <v>651</v>
      </c>
      <c r="F928" s="7" t="s">
        <v>289</v>
      </c>
      <c r="G928" s="7" t="s">
        <v>289</v>
      </c>
      <c r="H928" s="8">
        <v>50</v>
      </c>
      <c r="I928" s="7"/>
      <c r="J928" s="7"/>
      <c r="K928" s="7"/>
      <c r="L928" s="8"/>
      <c r="M928" s="8"/>
      <c r="N928" s="7"/>
      <c r="O928" s="7"/>
      <c r="P928" s="7" t="s">
        <v>87</v>
      </c>
      <c r="Q928" s="9">
        <v>46097</v>
      </c>
      <c r="R928" s="7" t="s">
        <v>290</v>
      </c>
      <c r="S928" s="10" t="s">
        <v>3772</v>
      </c>
    </row>
    <row r="929" spans="1:19" ht="81" x14ac:dyDescent="0.25">
      <c r="A929" s="17" t="s">
        <v>3773</v>
      </c>
      <c r="B929" s="7" t="s">
        <v>3774</v>
      </c>
      <c r="C929" s="7" t="s">
        <v>2468</v>
      </c>
      <c r="D929" s="7" t="s">
        <v>3775</v>
      </c>
      <c r="E929" s="7" t="s">
        <v>439</v>
      </c>
      <c r="F929" s="7" t="s">
        <v>289</v>
      </c>
      <c r="G929" s="7" t="s">
        <v>289</v>
      </c>
      <c r="H929" s="8">
        <v>1</v>
      </c>
      <c r="I929" s="7"/>
      <c r="J929" s="7"/>
      <c r="K929" s="7"/>
      <c r="L929" s="8"/>
      <c r="M929" s="8"/>
      <c r="N929" s="7"/>
      <c r="O929" s="7"/>
      <c r="P929" s="7" t="s">
        <v>87</v>
      </c>
      <c r="Q929" s="9">
        <v>46126</v>
      </c>
      <c r="R929" s="7" t="s">
        <v>290</v>
      </c>
      <c r="S929" s="10" t="s">
        <v>3776</v>
      </c>
    </row>
    <row r="930" spans="1:19" ht="40.5" x14ac:dyDescent="0.25">
      <c r="A930" s="17" t="s">
        <v>3777</v>
      </c>
      <c r="B930" s="7" t="s">
        <v>3778</v>
      </c>
      <c r="C930" s="7" t="s">
        <v>378</v>
      </c>
      <c r="D930" s="7"/>
      <c r="E930" s="7"/>
      <c r="F930" s="7" t="s">
        <v>289</v>
      </c>
      <c r="G930" s="7" t="s">
        <v>289</v>
      </c>
      <c r="H930" s="8"/>
      <c r="I930" s="7"/>
      <c r="J930" s="7"/>
      <c r="K930" s="7"/>
      <c r="L930" s="8"/>
      <c r="M930" s="8"/>
      <c r="N930" s="7"/>
      <c r="O930" s="7"/>
      <c r="P930" s="7" t="s">
        <v>87</v>
      </c>
      <c r="Q930" s="9">
        <v>46192</v>
      </c>
      <c r="R930" s="7" t="s">
        <v>290</v>
      </c>
      <c r="S930" s="10" t="s">
        <v>3779</v>
      </c>
    </row>
    <row r="931" spans="1:19" ht="40.5" x14ac:dyDescent="0.25">
      <c r="A931" s="17" t="s">
        <v>3780</v>
      </c>
      <c r="B931" s="7" t="s">
        <v>3781</v>
      </c>
      <c r="C931" s="7" t="s">
        <v>378</v>
      </c>
      <c r="D931" s="7"/>
      <c r="E931" s="7"/>
      <c r="F931" s="7" t="s">
        <v>289</v>
      </c>
      <c r="G931" s="7" t="s">
        <v>289</v>
      </c>
      <c r="H931" s="8"/>
      <c r="I931" s="7"/>
      <c r="J931" s="7"/>
      <c r="K931" s="7"/>
      <c r="L931" s="8"/>
      <c r="M931" s="8"/>
      <c r="N931" s="7"/>
      <c r="O931" s="7"/>
      <c r="P931" s="7" t="s">
        <v>87</v>
      </c>
      <c r="Q931" s="9">
        <v>46192</v>
      </c>
      <c r="R931" s="7" t="s">
        <v>290</v>
      </c>
      <c r="S931" s="10" t="s">
        <v>3782</v>
      </c>
    </row>
    <row r="932" spans="1:19" ht="40.5" x14ac:dyDescent="0.25">
      <c r="A932" s="17" t="s">
        <v>3783</v>
      </c>
      <c r="B932" s="7" t="s">
        <v>3784</v>
      </c>
      <c r="C932" s="7" t="s">
        <v>288</v>
      </c>
      <c r="D932" s="7"/>
      <c r="E932" s="7"/>
      <c r="F932" s="7" t="s">
        <v>289</v>
      </c>
      <c r="G932" s="7" t="s">
        <v>289</v>
      </c>
      <c r="H932" s="8"/>
      <c r="I932" s="7"/>
      <c r="J932" s="7"/>
      <c r="K932" s="7"/>
      <c r="L932" s="8"/>
      <c r="M932" s="8"/>
      <c r="N932" s="7"/>
      <c r="O932" s="7"/>
      <c r="P932" s="7" t="s">
        <v>87</v>
      </c>
      <c r="Q932" s="9">
        <v>46230</v>
      </c>
      <c r="R932" s="7" t="s">
        <v>290</v>
      </c>
      <c r="S932" s="10" t="s">
        <v>3785</v>
      </c>
    </row>
    <row r="933" spans="1:19" ht="27" x14ac:dyDescent="0.25">
      <c r="A933" s="17" t="s">
        <v>3786</v>
      </c>
      <c r="B933" s="7" t="s">
        <v>3787</v>
      </c>
      <c r="C933" s="7" t="s">
        <v>816</v>
      </c>
      <c r="D933" s="7"/>
      <c r="E933" s="7"/>
      <c r="F933" s="7" t="s">
        <v>289</v>
      </c>
      <c r="G933" s="7" t="s">
        <v>289</v>
      </c>
      <c r="H933" s="8"/>
      <c r="I933" s="7"/>
      <c r="J933" s="7"/>
      <c r="K933" s="7"/>
      <c r="L933" s="8"/>
      <c r="M933" s="8"/>
      <c r="N933" s="7"/>
      <c r="O933" s="7"/>
      <c r="P933" s="7" t="s">
        <v>87</v>
      </c>
      <c r="Q933" s="9">
        <v>46185</v>
      </c>
      <c r="R933" s="7" t="s">
        <v>290</v>
      </c>
      <c r="S933" s="10" t="s">
        <v>3788</v>
      </c>
    </row>
    <row r="934" spans="1:19" ht="81" x14ac:dyDescent="0.25">
      <c r="A934" s="17" t="s">
        <v>3789</v>
      </c>
      <c r="B934" s="7" t="s">
        <v>3790</v>
      </c>
      <c r="C934" s="7" t="s">
        <v>2260</v>
      </c>
      <c r="D934" s="7" t="s">
        <v>3791</v>
      </c>
      <c r="E934" s="7" t="s">
        <v>433</v>
      </c>
      <c r="F934" s="7" t="s">
        <v>308</v>
      </c>
      <c r="G934" s="7" t="s">
        <v>301</v>
      </c>
      <c r="H934" s="8">
        <v>1000</v>
      </c>
      <c r="I934" s="7"/>
      <c r="J934" s="7"/>
      <c r="K934" s="7"/>
      <c r="L934" s="8"/>
      <c r="M934" s="8"/>
      <c r="N934" s="7"/>
      <c r="O934" s="7"/>
      <c r="P934" s="7" t="s">
        <v>87</v>
      </c>
      <c r="Q934" s="9">
        <v>46076</v>
      </c>
      <c r="R934" s="7" t="s">
        <v>290</v>
      </c>
      <c r="S934" s="10" t="s">
        <v>3792</v>
      </c>
    </row>
    <row r="935" spans="1:19" ht="81" x14ac:dyDescent="0.25">
      <c r="A935" s="17" t="s">
        <v>3793</v>
      </c>
      <c r="B935" s="7" t="s">
        <v>3794</v>
      </c>
      <c r="C935" s="7" t="s">
        <v>2260</v>
      </c>
      <c r="D935" s="7" t="s">
        <v>3795</v>
      </c>
      <c r="E935" s="7" t="s">
        <v>1366</v>
      </c>
      <c r="F935" s="7" t="s">
        <v>308</v>
      </c>
      <c r="G935" s="7" t="s">
        <v>308</v>
      </c>
      <c r="H935" s="8">
        <v>1000</v>
      </c>
      <c r="I935" s="7"/>
      <c r="J935" s="7"/>
      <c r="K935" s="7"/>
      <c r="L935" s="8"/>
      <c r="M935" s="8"/>
      <c r="N935" s="7"/>
      <c r="O935" s="7"/>
      <c r="P935" s="7" t="s">
        <v>87</v>
      </c>
      <c r="Q935" s="9">
        <v>46097</v>
      </c>
      <c r="R935" s="7" t="s">
        <v>290</v>
      </c>
      <c r="S935" s="10" t="s">
        <v>3796</v>
      </c>
    </row>
    <row r="936" spans="1:19" ht="81" x14ac:dyDescent="0.25">
      <c r="A936" s="17" t="s">
        <v>3797</v>
      </c>
      <c r="B936" s="7" t="s">
        <v>3798</v>
      </c>
      <c r="C936" s="7" t="s">
        <v>2260</v>
      </c>
      <c r="D936" s="7" t="s">
        <v>3799</v>
      </c>
      <c r="E936" s="7" t="s">
        <v>1366</v>
      </c>
      <c r="F936" s="7" t="s">
        <v>308</v>
      </c>
      <c r="G936" s="7" t="s">
        <v>308</v>
      </c>
      <c r="H936" s="8">
        <v>1000</v>
      </c>
      <c r="I936" s="7"/>
      <c r="J936" s="7"/>
      <c r="K936" s="7"/>
      <c r="L936" s="8"/>
      <c r="M936" s="8"/>
      <c r="N936" s="7"/>
      <c r="O936" s="7"/>
      <c r="P936" s="7" t="s">
        <v>87</v>
      </c>
      <c r="Q936" s="9">
        <v>46112</v>
      </c>
      <c r="R936" s="7" t="s">
        <v>290</v>
      </c>
      <c r="S936" s="10" t="s">
        <v>3800</v>
      </c>
    </row>
    <row r="937" spans="1:19" ht="81" x14ac:dyDescent="0.25">
      <c r="A937" s="17" t="s">
        <v>3801</v>
      </c>
      <c r="B937" s="7" t="s">
        <v>3802</v>
      </c>
      <c r="C937" s="7" t="s">
        <v>2260</v>
      </c>
      <c r="D937" s="7" t="s">
        <v>3803</v>
      </c>
      <c r="E937" s="7" t="s">
        <v>1366</v>
      </c>
      <c r="F937" s="7" t="s">
        <v>308</v>
      </c>
      <c r="G937" s="7" t="s">
        <v>308</v>
      </c>
      <c r="H937" s="8">
        <v>1000</v>
      </c>
      <c r="I937" s="7"/>
      <c r="J937" s="7"/>
      <c r="K937" s="7"/>
      <c r="L937" s="8"/>
      <c r="M937" s="8"/>
      <c r="N937" s="7"/>
      <c r="O937" s="7"/>
      <c r="P937" s="7" t="s">
        <v>87</v>
      </c>
      <c r="Q937" s="9">
        <v>46150</v>
      </c>
      <c r="R937" s="7" t="s">
        <v>290</v>
      </c>
      <c r="S937" s="10" t="s">
        <v>3804</v>
      </c>
    </row>
    <row r="938" spans="1:19" ht="40.5" x14ac:dyDescent="0.25">
      <c r="A938" s="17" t="s">
        <v>3805</v>
      </c>
      <c r="B938" s="7" t="s">
        <v>3806</v>
      </c>
      <c r="C938" s="7" t="s">
        <v>298</v>
      </c>
      <c r="D938" s="7"/>
      <c r="E938" s="7"/>
      <c r="F938" s="7" t="s">
        <v>25</v>
      </c>
      <c r="G938" s="7" t="s">
        <v>25</v>
      </c>
      <c r="H938" s="8"/>
      <c r="I938" s="7"/>
      <c r="J938" s="7"/>
      <c r="K938" s="7"/>
      <c r="L938" s="8"/>
      <c r="M938" s="8"/>
      <c r="N938" s="7"/>
      <c r="O938" s="7"/>
      <c r="P938" s="7" t="s">
        <v>87</v>
      </c>
      <c r="Q938" s="9">
        <v>46097</v>
      </c>
      <c r="R938" s="7" t="s">
        <v>290</v>
      </c>
      <c r="S938" s="10" t="s">
        <v>3807</v>
      </c>
    </row>
    <row r="939" spans="1:19" ht="67.5" x14ac:dyDescent="0.25">
      <c r="A939" s="17" t="s">
        <v>3808</v>
      </c>
      <c r="B939" s="7" t="s">
        <v>3809</v>
      </c>
      <c r="C939" s="7" t="s">
        <v>298</v>
      </c>
      <c r="D939" s="7" t="s">
        <v>3810</v>
      </c>
      <c r="E939" s="7" t="s">
        <v>439</v>
      </c>
      <c r="F939" s="7" t="s">
        <v>25</v>
      </c>
      <c r="G939" s="7" t="s">
        <v>24</v>
      </c>
      <c r="H939" s="8">
        <v>1000</v>
      </c>
      <c r="I939" s="7"/>
      <c r="J939" s="7"/>
      <c r="K939" s="7"/>
      <c r="L939" s="8"/>
      <c r="M939" s="8"/>
      <c r="N939" s="7"/>
      <c r="O939" s="7"/>
      <c r="P939" s="7" t="s">
        <v>87</v>
      </c>
      <c r="Q939" s="9">
        <v>46091</v>
      </c>
      <c r="R939" s="7" t="s">
        <v>290</v>
      </c>
      <c r="S939" s="10" t="s">
        <v>3811</v>
      </c>
    </row>
    <row r="940" spans="1:19" ht="81" x14ac:dyDescent="0.25">
      <c r="A940" s="17" t="s">
        <v>3812</v>
      </c>
      <c r="B940" s="7" t="s">
        <v>3813</v>
      </c>
      <c r="C940" s="7" t="s">
        <v>745</v>
      </c>
      <c r="D940" s="7" t="s">
        <v>3814</v>
      </c>
      <c r="E940" s="7" t="s">
        <v>3815</v>
      </c>
      <c r="F940" s="7" t="s">
        <v>289</v>
      </c>
      <c r="G940" s="7" t="s">
        <v>289</v>
      </c>
      <c r="H940" s="8">
        <v>1</v>
      </c>
      <c r="I940" s="7"/>
      <c r="J940" s="7"/>
      <c r="K940" s="7"/>
      <c r="L940" s="8"/>
      <c r="M940" s="8"/>
      <c r="N940" s="7"/>
      <c r="O940" s="7"/>
      <c r="P940" s="7" t="s">
        <v>87</v>
      </c>
      <c r="Q940" s="9">
        <v>46097</v>
      </c>
      <c r="R940" s="7" t="s">
        <v>290</v>
      </c>
      <c r="S940" s="10" t="s">
        <v>3816</v>
      </c>
    </row>
    <row r="941" spans="1:19" ht="81" x14ac:dyDescent="0.25">
      <c r="A941" s="17" t="s">
        <v>3817</v>
      </c>
      <c r="B941" s="7" t="s">
        <v>3818</v>
      </c>
      <c r="C941" s="7" t="s">
        <v>481</v>
      </c>
      <c r="D941" s="7" t="s">
        <v>3819</v>
      </c>
      <c r="E941" s="7" t="s">
        <v>496</v>
      </c>
      <c r="F941" s="7" t="s">
        <v>308</v>
      </c>
      <c r="G941" s="7" t="s">
        <v>308</v>
      </c>
      <c r="H941" s="8">
        <v>750</v>
      </c>
      <c r="I941" s="7"/>
      <c r="J941" s="7"/>
      <c r="K941" s="7"/>
      <c r="L941" s="8"/>
      <c r="M941" s="8"/>
      <c r="N941" s="7"/>
      <c r="O941" s="7"/>
      <c r="P941" s="7" t="s">
        <v>87</v>
      </c>
      <c r="Q941" s="9">
        <v>46150</v>
      </c>
      <c r="R941" s="7" t="s">
        <v>290</v>
      </c>
      <c r="S941" s="10" t="s">
        <v>3820</v>
      </c>
    </row>
    <row r="942" spans="1:19" ht="81" x14ac:dyDescent="0.25">
      <c r="A942" s="17" t="s">
        <v>3821</v>
      </c>
      <c r="B942" s="7" t="s">
        <v>3822</v>
      </c>
      <c r="C942" s="7" t="s">
        <v>481</v>
      </c>
      <c r="D942" s="7" t="s">
        <v>3823</v>
      </c>
      <c r="E942" s="7" t="s">
        <v>3824</v>
      </c>
      <c r="F942" s="7" t="s">
        <v>308</v>
      </c>
      <c r="G942" s="7" t="s">
        <v>308</v>
      </c>
      <c r="H942" s="8">
        <v>1000</v>
      </c>
      <c r="I942" s="7"/>
      <c r="J942" s="7"/>
      <c r="K942" s="7"/>
      <c r="L942" s="8"/>
      <c r="M942" s="8"/>
      <c r="N942" s="7"/>
      <c r="O942" s="7"/>
      <c r="P942" s="7" t="s">
        <v>87</v>
      </c>
      <c r="Q942" s="9">
        <v>46079</v>
      </c>
      <c r="R942" s="7" t="s">
        <v>290</v>
      </c>
      <c r="S942" s="10" t="s">
        <v>3825</v>
      </c>
    </row>
    <row r="943" spans="1:19" ht="81" x14ac:dyDescent="0.25">
      <c r="A943" s="17" t="s">
        <v>3826</v>
      </c>
      <c r="B943" s="7" t="s">
        <v>3827</v>
      </c>
      <c r="C943" s="7" t="s">
        <v>481</v>
      </c>
      <c r="D943" s="7" t="s">
        <v>3828</v>
      </c>
      <c r="E943" s="7" t="s">
        <v>496</v>
      </c>
      <c r="F943" s="7" t="s">
        <v>308</v>
      </c>
      <c r="G943" s="7" t="s">
        <v>308</v>
      </c>
      <c r="H943" s="8">
        <v>750</v>
      </c>
      <c r="I943" s="7"/>
      <c r="J943" s="7"/>
      <c r="K943" s="7"/>
      <c r="L943" s="8"/>
      <c r="M943" s="8"/>
      <c r="N943" s="7"/>
      <c r="O943" s="7"/>
      <c r="P943" s="7" t="s">
        <v>87</v>
      </c>
      <c r="Q943" s="9">
        <v>46150</v>
      </c>
      <c r="R943" s="7" t="s">
        <v>290</v>
      </c>
      <c r="S943" s="10" t="s">
        <v>3829</v>
      </c>
    </row>
    <row r="944" spans="1:19" ht="81" x14ac:dyDescent="0.25">
      <c r="A944" s="17" t="s">
        <v>3830</v>
      </c>
      <c r="B944" s="7" t="s">
        <v>3831</v>
      </c>
      <c r="C944" s="7" t="s">
        <v>481</v>
      </c>
      <c r="D944" s="7" t="s">
        <v>3832</v>
      </c>
      <c r="E944" s="7" t="s">
        <v>496</v>
      </c>
      <c r="F944" s="7" t="s">
        <v>308</v>
      </c>
      <c r="G944" s="7" t="s">
        <v>308</v>
      </c>
      <c r="H944" s="8">
        <v>750</v>
      </c>
      <c r="I944" s="7"/>
      <c r="J944" s="7"/>
      <c r="K944" s="7"/>
      <c r="L944" s="8"/>
      <c r="M944" s="8"/>
      <c r="N944" s="7"/>
      <c r="O944" s="7"/>
      <c r="P944" s="7" t="s">
        <v>87</v>
      </c>
      <c r="Q944" s="9">
        <v>46094</v>
      </c>
      <c r="R944" s="7" t="s">
        <v>290</v>
      </c>
      <c r="S944" s="10" t="s">
        <v>3833</v>
      </c>
    </row>
    <row r="945" spans="1:19" ht="81" x14ac:dyDescent="0.25">
      <c r="A945" s="17" t="s">
        <v>3834</v>
      </c>
      <c r="B945" s="7" t="s">
        <v>3835</v>
      </c>
      <c r="C945" s="7" t="s">
        <v>460</v>
      </c>
      <c r="D945" s="7" t="s">
        <v>3836</v>
      </c>
      <c r="E945" s="7" t="s">
        <v>361</v>
      </c>
      <c r="F945" s="7" t="s">
        <v>25</v>
      </c>
      <c r="G945" s="7" t="s">
        <v>25</v>
      </c>
      <c r="H945" s="8">
        <v>1000</v>
      </c>
      <c r="I945" s="7"/>
      <c r="J945" s="7"/>
      <c r="K945" s="7"/>
      <c r="L945" s="8"/>
      <c r="M945" s="8"/>
      <c r="N945" s="7"/>
      <c r="O945" s="7"/>
      <c r="P945" s="7" t="s">
        <v>87</v>
      </c>
      <c r="Q945" s="9">
        <v>46172</v>
      </c>
      <c r="R945" s="7" t="s">
        <v>290</v>
      </c>
      <c r="S945" s="10" t="s">
        <v>3837</v>
      </c>
    </row>
    <row r="946" spans="1:19" ht="40.5" x14ac:dyDescent="0.25">
      <c r="A946" s="17" t="s">
        <v>3838</v>
      </c>
      <c r="B946" s="7" t="s">
        <v>3839</v>
      </c>
      <c r="C946" s="7" t="s">
        <v>2294</v>
      </c>
      <c r="D946" s="7"/>
      <c r="E946" s="7"/>
      <c r="F946" s="7" t="s">
        <v>289</v>
      </c>
      <c r="G946" s="7" t="s">
        <v>289</v>
      </c>
      <c r="H946" s="8"/>
      <c r="I946" s="7"/>
      <c r="J946" s="7"/>
      <c r="K946" s="7"/>
      <c r="L946" s="8"/>
      <c r="M946" s="8"/>
      <c r="N946" s="7"/>
      <c r="O946" s="7"/>
      <c r="P946" s="7" t="s">
        <v>87</v>
      </c>
      <c r="Q946" s="9">
        <v>46230</v>
      </c>
      <c r="R946" s="7" t="s">
        <v>290</v>
      </c>
      <c r="S946" s="10" t="s">
        <v>3840</v>
      </c>
    </row>
    <row r="947" spans="1:19" ht="40.5" x14ac:dyDescent="0.25">
      <c r="A947" s="17" t="s">
        <v>3841</v>
      </c>
      <c r="B947" s="7" t="s">
        <v>3842</v>
      </c>
      <c r="C947" s="7" t="s">
        <v>288</v>
      </c>
      <c r="D947" s="7"/>
      <c r="E947" s="7"/>
      <c r="F947" s="7" t="s">
        <v>289</v>
      </c>
      <c r="G947" s="7" t="s">
        <v>289</v>
      </c>
      <c r="H947" s="8"/>
      <c r="I947" s="7"/>
      <c r="J947" s="7"/>
      <c r="K947" s="7"/>
      <c r="L947" s="8"/>
      <c r="M947" s="8"/>
      <c r="N947" s="7"/>
      <c r="O947" s="7"/>
      <c r="P947" s="7" t="s">
        <v>87</v>
      </c>
      <c r="Q947" s="9">
        <v>46230</v>
      </c>
      <c r="R947" s="7" t="s">
        <v>290</v>
      </c>
      <c r="S947" s="10" t="s">
        <v>3843</v>
      </c>
    </row>
    <row r="948" spans="1:19" ht="40.5" x14ac:dyDescent="0.25">
      <c r="A948" s="17" t="s">
        <v>3844</v>
      </c>
      <c r="B948" s="7" t="s">
        <v>3845</v>
      </c>
      <c r="C948" s="7" t="s">
        <v>596</v>
      </c>
      <c r="D948" s="7"/>
      <c r="E948" s="7"/>
      <c r="F948" s="7" t="s">
        <v>289</v>
      </c>
      <c r="G948" s="7" t="s">
        <v>289</v>
      </c>
      <c r="H948" s="8"/>
      <c r="I948" s="7"/>
      <c r="J948" s="7"/>
      <c r="K948" s="7"/>
      <c r="L948" s="8"/>
      <c r="M948" s="8"/>
      <c r="N948" s="7"/>
      <c r="O948" s="7"/>
      <c r="P948" s="7" t="s">
        <v>87</v>
      </c>
      <c r="Q948" s="9">
        <v>46214</v>
      </c>
      <c r="R948" s="7" t="s">
        <v>290</v>
      </c>
      <c r="S948" s="10" t="s">
        <v>3846</v>
      </c>
    </row>
    <row r="949" spans="1:19" ht="40.5" x14ac:dyDescent="0.25">
      <c r="A949" s="17" t="s">
        <v>3847</v>
      </c>
      <c r="B949" s="7" t="s">
        <v>3848</v>
      </c>
      <c r="C949" s="7" t="s">
        <v>288</v>
      </c>
      <c r="D949" s="7"/>
      <c r="E949" s="7"/>
      <c r="F949" s="7" t="s">
        <v>289</v>
      </c>
      <c r="G949" s="7" t="s">
        <v>289</v>
      </c>
      <c r="H949" s="8"/>
      <c r="I949" s="7"/>
      <c r="J949" s="7"/>
      <c r="K949" s="7"/>
      <c r="L949" s="8"/>
      <c r="M949" s="8"/>
      <c r="N949" s="7"/>
      <c r="O949" s="7"/>
      <c r="P949" s="7" t="s">
        <v>87</v>
      </c>
      <c r="Q949" s="9">
        <v>46143</v>
      </c>
      <c r="R949" s="7" t="s">
        <v>290</v>
      </c>
      <c r="S949" s="10" t="s">
        <v>3849</v>
      </c>
    </row>
    <row r="950" spans="1:19" ht="81" x14ac:dyDescent="0.25">
      <c r="A950" s="17" t="s">
        <v>3850</v>
      </c>
      <c r="B950" s="7" t="s">
        <v>3851</v>
      </c>
      <c r="C950" s="7" t="s">
        <v>475</v>
      </c>
      <c r="D950" s="7" t="s">
        <v>3852</v>
      </c>
      <c r="E950" s="7" t="s">
        <v>821</v>
      </c>
      <c r="F950" s="7" t="s">
        <v>25</v>
      </c>
      <c r="G950" s="7" t="s">
        <v>25</v>
      </c>
      <c r="H950" s="8">
        <v>1500</v>
      </c>
      <c r="I950" s="7"/>
      <c r="J950" s="7"/>
      <c r="K950" s="7"/>
      <c r="L950" s="8"/>
      <c r="M950" s="8"/>
      <c r="N950" s="7"/>
      <c r="O950" s="7"/>
      <c r="P950" s="7" t="s">
        <v>87</v>
      </c>
      <c r="Q950" s="9">
        <v>46097</v>
      </c>
      <c r="R950" s="7" t="s">
        <v>290</v>
      </c>
      <c r="S950" s="10" t="s">
        <v>3853</v>
      </c>
    </row>
    <row r="951" spans="1:19" ht="81" x14ac:dyDescent="0.25">
      <c r="A951" s="17" t="s">
        <v>3854</v>
      </c>
      <c r="B951" s="7" t="s">
        <v>3855</v>
      </c>
      <c r="C951" s="7" t="s">
        <v>475</v>
      </c>
      <c r="D951" s="7" t="s">
        <v>3856</v>
      </c>
      <c r="E951" s="7" t="s">
        <v>3857</v>
      </c>
      <c r="F951" s="7" t="s">
        <v>25</v>
      </c>
      <c r="G951" s="7" t="s">
        <v>25</v>
      </c>
      <c r="H951" s="8">
        <v>920</v>
      </c>
      <c r="I951" s="7"/>
      <c r="J951" s="7"/>
      <c r="K951" s="7"/>
      <c r="L951" s="8"/>
      <c r="M951" s="8"/>
      <c r="N951" s="7"/>
      <c r="O951" s="7"/>
      <c r="P951" s="7" t="s">
        <v>87</v>
      </c>
      <c r="Q951" s="9">
        <v>46149</v>
      </c>
      <c r="R951" s="7" t="s">
        <v>290</v>
      </c>
      <c r="S951" s="10" t="s">
        <v>3858</v>
      </c>
    </row>
    <row r="952" spans="1:19" ht="81" x14ac:dyDescent="0.25">
      <c r="A952" s="17" t="s">
        <v>3859</v>
      </c>
      <c r="B952" s="7" t="s">
        <v>3860</v>
      </c>
      <c r="C952" s="7" t="s">
        <v>1248</v>
      </c>
      <c r="D952" s="7" t="s">
        <v>3861</v>
      </c>
      <c r="E952" s="7" t="s">
        <v>3862</v>
      </c>
      <c r="F952" s="7" t="s">
        <v>25</v>
      </c>
      <c r="G952" s="7" t="s">
        <v>25</v>
      </c>
      <c r="H952" s="8">
        <v>1000</v>
      </c>
      <c r="I952" s="7"/>
      <c r="J952" s="7"/>
      <c r="K952" s="7"/>
      <c r="L952" s="8"/>
      <c r="M952" s="8"/>
      <c r="N952" s="7"/>
      <c r="O952" s="7"/>
      <c r="P952" s="7" t="s">
        <v>87</v>
      </c>
      <c r="Q952" s="9">
        <v>46073</v>
      </c>
      <c r="R952" s="7" t="s">
        <v>290</v>
      </c>
      <c r="S952" s="10" t="s">
        <v>3863</v>
      </c>
    </row>
    <row r="953" spans="1:19" ht="81" x14ac:dyDescent="0.25">
      <c r="A953" s="17" t="s">
        <v>3864</v>
      </c>
      <c r="B953" s="7" t="s">
        <v>3865</v>
      </c>
      <c r="C953" s="7" t="s">
        <v>1248</v>
      </c>
      <c r="D953" s="7" t="s">
        <v>3866</v>
      </c>
      <c r="E953" s="7" t="s">
        <v>1360</v>
      </c>
      <c r="F953" s="7" t="s">
        <v>25</v>
      </c>
      <c r="G953" s="7" t="s">
        <v>25</v>
      </c>
      <c r="H953" s="8">
        <v>1000</v>
      </c>
      <c r="I953" s="7"/>
      <c r="J953" s="7"/>
      <c r="K953" s="7"/>
      <c r="L953" s="8"/>
      <c r="M953" s="8"/>
      <c r="N953" s="7"/>
      <c r="O953" s="7"/>
      <c r="P953" s="7" t="s">
        <v>87</v>
      </c>
      <c r="Q953" s="9">
        <v>46073</v>
      </c>
      <c r="R953" s="7" t="s">
        <v>290</v>
      </c>
      <c r="S953" s="10" t="s">
        <v>3867</v>
      </c>
    </row>
    <row r="954" spans="1:19" ht="27" x14ac:dyDescent="0.25">
      <c r="A954" s="17" t="s">
        <v>3868</v>
      </c>
      <c r="B954" s="7" t="s">
        <v>3869</v>
      </c>
      <c r="C954" s="7" t="s">
        <v>1410</v>
      </c>
      <c r="D954" s="7"/>
      <c r="E954" s="7"/>
      <c r="F954" s="7" t="s">
        <v>289</v>
      </c>
      <c r="G954" s="7" t="s">
        <v>289</v>
      </c>
      <c r="H954" s="8"/>
      <c r="I954" s="7"/>
      <c r="J954" s="7"/>
      <c r="K954" s="7"/>
      <c r="L954" s="8"/>
      <c r="M954" s="8"/>
      <c r="N954" s="7"/>
      <c r="O954" s="7"/>
      <c r="P954" s="7" t="s">
        <v>87</v>
      </c>
      <c r="Q954" s="9">
        <v>46185</v>
      </c>
      <c r="R954" s="7" t="s">
        <v>290</v>
      </c>
      <c r="S954" s="10" t="s">
        <v>3870</v>
      </c>
    </row>
    <row r="955" spans="1:19" ht="81" x14ac:dyDescent="0.25">
      <c r="A955" s="17" t="s">
        <v>3871</v>
      </c>
      <c r="B955" s="7" t="s">
        <v>3872</v>
      </c>
      <c r="C955" s="7" t="s">
        <v>359</v>
      </c>
      <c r="D955" s="7" t="s">
        <v>3873</v>
      </c>
      <c r="E955" s="7" t="s">
        <v>361</v>
      </c>
      <c r="F955" s="7" t="s">
        <v>25</v>
      </c>
      <c r="G955" s="7" t="s">
        <v>25</v>
      </c>
      <c r="H955" s="8">
        <v>1000</v>
      </c>
      <c r="I955" s="7"/>
      <c r="J955" s="7"/>
      <c r="K955" s="7"/>
      <c r="L955" s="8"/>
      <c r="M955" s="8"/>
      <c r="N955" s="7"/>
      <c r="O955" s="7"/>
      <c r="P955" s="7" t="s">
        <v>87</v>
      </c>
      <c r="Q955" s="9">
        <v>46113</v>
      </c>
      <c r="R955" s="7" t="s">
        <v>290</v>
      </c>
      <c r="S955" s="10" t="s">
        <v>3874</v>
      </c>
    </row>
    <row r="956" spans="1:19" ht="40.5" x14ac:dyDescent="0.25">
      <c r="A956" s="17" t="s">
        <v>3875</v>
      </c>
      <c r="B956" s="7" t="s">
        <v>3876</v>
      </c>
      <c r="C956" s="7" t="s">
        <v>1480</v>
      </c>
      <c r="D956" s="7"/>
      <c r="E956" s="7"/>
      <c r="F956" s="7" t="s">
        <v>308</v>
      </c>
      <c r="G956" s="7" t="s">
        <v>308</v>
      </c>
      <c r="H956" s="8"/>
      <c r="I956" s="7"/>
      <c r="J956" s="7"/>
      <c r="K956" s="7"/>
      <c r="L956" s="8"/>
      <c r="M956" s="8"/>
      <c r="N956" s="7"/>
      <c r="O956" s="7"/>
      <c r="P956" s="7" t="s">
        <v>87</v>
      </c>
      <c r="Q956" s="9">
        <v>46126</v>
      </c>
      <c r="R956" s="7" t="s">
        <v>290</v>
      </c>
      <c r="S956" s="10" t="s">
        <v>3877</v>
      </c>
    </row>
    <row r="957" spans="1:19" ht="81" x14ac:dyDescent="0.25">
      <c r="A957" s="17" t="s">
        <v>3878</v>
      </c>
      <c r="B957" s="7" t="s">
        <v>3876</v>
      </c>
      <c r="C957" s="7" t="s">
        <v>342</v>
      </c>
      <c r="D957" s="7" t="s">
        <v>3879</v>
      </c>
      <c r="E957" s="7" t="s">
        <v>439</v>
      </c>
      <c r="F957" s="7" t="s">
        <v>308</v>
      </c>
      <c r="G957" s="7" t="s">
        <v>308</v>
      </c>
      <c r="H957" s="8">
        <v>1</v>
      </c>
      <c r="I957" s="7"/>
      <c r="J957" s="7"/>
      <c r="K957" s="7"/>
      <c r="L957" s="8"/>
      <c r="M957" s="8"/>
      <c r="N957" s="7"/>
      <c r="O957" s="7"/>
      <c r="P957" s="7" t="s">
        <v>87</v>
      </c>
      <c r="Q957" s="9">
        <v>46094</v>
      </c>
      <c r="R957" s="7" t="s">
        <v>290</v>
      </c>
      <c r="S957" s="10" t="s">
        <v>3880</v>
      </c>
    </row>
  </sheetData>
  <mergeCells count="3">
    <mergeCell ref="A1:S1"/>
    <mergeCell ref="A2:S2"/>
    <mergeCell ref="A5:S5"/>
  </mergeCells>
  <dataValidations count="3">
    <dataValidation type="list" allowBlank="1" showInputMessage="1" showErrorMessage="1" errorTitle="Valor no permitido" error="Selecciona un valor de la lista." sqref="F8:G957" xr:uid="{CA41F976-F9B5-402F-81CA-FC55257FFFEB}">
      <formula1>lstUnidades</formula1>
    </dataValidation>
    <dataValidation type="list" allowBlank="1" showInputMessage="1" showErrorMessage="1" errorTitle="Valor no permitido" error="Selecciona un valor de la lista." sqref="N8:N957 I8:K957" xr:uid="{BF9C4197-D28A-4BAC-BBF7-04168D55184A}">
      <formula1>lstSiNo</formula1>
    </dataValidation>
    <dataValidation type="list" allowBlank="1" showInputMessage="1" showErrorMessage="1" errorTitle="Valor no permitido" error="Selecciona un valor de la lista." sqref="P8:P957" xr:uid="{A6DFDD25-BCEB-4147-9891-AB93EBE317F5}">
      <formula1>lstEstadosRegistro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94004-6A48-49AA-98D1-8C75D78D1BAC}">
  <sheetPr codeName="Hoja12">
    <tabColor rgb="FF1F6AA6"/>
    <pageSetUpPr fitToPage="1"/>
  </sheetPr>
  <dimension ref="A1:K19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5" customWidth="1"/>
    <col min="2" max="2" width="23.7109375" style="2" customWidth="1"/>
    <col min="3" max="7" width="18.7109375" style="2" customWidth="1"/>
    <col min="8" max="8" width="15.7109375" style="2" customWidth="1"/>
    <col min="9" max="9" width="21.7109375" style="2" customWidth="1"/>
    <col min="10" max="10" width="20.7109375" style="2" customWidth="1"/>
    <col min="11" max="11" width="32.7109375" style="2" customWidth="1"/>
    <col min="12" max="16384" width="11.42578125" style="2"/>
  </cols>
  <sheetData>
    <row r="1" spans="1:11" ht="36" customHeight="1" x14ac:dyDescent="0.25">
      <c r="A1" s="32" t="s">
        <v>132</v>
      </c>
      <c r="B1" s="32"/>
      <c r="C1" s="32"/>
      <c r="D1" s="32"/>
      <c r="E1" s="32"/>
      <c r="F1" s="32"/>
      <c r="G1" s="32"/>
      <c r="H1" s="32"/>
      <c r="I1" s="32"/>
      <c r="J1" s="32"/>
      <c r="K1" s="32"/>
    </row>
    <row r="2" spans="1:11" ht="30" customHeight="1" x14ac:dyDescent="0.25">
      <c r="A2" s="33" t="s">
        <v>3940</v>
      </c>
      <c r="B2" s="33"/>
      <c r="C2" s="33"/>
      <c r="D2" s="33"/>
      <c r="E2" s="33"/>
      <c r="F2" s="33"/>
      <c r="G2" s="33"/>
      <c r="H2" s="33"/>
      <c r="I2" s="33"/>
      <c r="J2" s="33"/>
      <c r="K2" s="33"/>
    </row>
    <row r="5" spans="1:11" ht="32.1" customHeight="1" x14ac:dyDescent="0.25">
      <c r="A5" s="34" t="s">
        <v>3941</v>
      </c>
      <c r="B5" s="34"/>
      <c r="C5" s="34"/>
      <c r="D5" s="34"/>
      <c r="E5" s="34"/>
      <c r="F5" s="34"/>
      <c r="G5" s="34"/>
      <c r="H5" s="34"/>
      <c r="I5" s="34"/>
      <c r="J5" s="34"/>
      <c r="K5" s="34"/>
    </row>
    <row r="6" spans="1:11" ht="8.1" customHeight="1" x14ac:dyDescent="0.25"/>
    <row r="7" spans="1:11" ht="36" customHeight="1" x14ac:dyDescent="0.25">
      <c r="A7" s="16" t="s">
        <v>133</v>
      </c>
      <c r="B7" s="3" t="s">
        <v>134</v>
      </c>
      <c r="C7" s="3" t="s">
        <v>135</v>
      </c>
      <c r="D7" s="3" t="s">
        <v>136</v>
      </c>
      <c r="E7" s="3" t="s">
        <v>137</v>
      </c>
      <c r="F7" s="3" t="s">
        <v>138</v>
      </c>
      <c r="G7" s="3" t="s">
        <v>139</v>
      </c>
      <c r="H7" s="3" t="s">
        <v>140</v>
      </c>
      <c r="I7" s="3" t="s">
        <v>128</v>
      </c>
      <c r="J7" s="3" t="s">
        <v>130</v>
      </c>
      <c r="K7" s="6" t="s">
        <v>131</v>
      </c>
    </row>
    <row r="8" spans="1:11" ht="54" x14ac:dyDescent="0.25">
      <c r="A8" s="17" t="s">
        <v>3881</v>
      </c>
      <c r="B8" s="7" t="s">
        <v>1</v>
      </c>
      <c r="C8" s="7" t="s">
        <v>3882</v>
      </c>
      <c r="D8" s="7" t="s">
        <v>3883</v>
      </c>
      <c r="E8" s="7" t="s">
        <v>3884</v>
      </c>
      <c r="F8" s="7" t="s">
        <v>3885</v>
      </c>
      <c r="G8" s="7" t="s">
        <v>104</v>
      </c>
      <c r="H8" s="7"/>
      <c r="I8" s="7" t="s">
        <v>87</v>
      </c>
      <c r="J8" s="7" t="s">
        <v>290</v>
      </c>
      <c r="K8" s="10" t="s">
        <v>3886</v>
      </c>
    </row>
    <row r="9" spans="1:11" ht="54" x14ac:dyDescent="0.25">
      <c r="A9" s="17" t="s">
        <v>3887</v>
      </c>
      <c r="B9" s="7" t="s">
        <v>1</v>
      </c>
      <c r="C9" s="7" t="s">
        <v>3882</v>
      </c>
      <c r="D9" s="7" t="s">
        <v>3888</v>
      </c>
      <c r="E9" s="7" t="s">
        <v>3889</v>
      </c>
      <c r="F9" s="7" t="s">
        <v>3885</v>
      </c>
      <c r="G9" s="7" t="s">
        <v>104</v>
      </c>
      <c r="H9" s="7"/>
      <c r="I9" s="7" t="s">
        <v>87</v>
      </c>
      <c r="J9" s="7" t="s">
        <v>290</v>
      </c>
      <c r="K9" s="10" t="s">
        <v>3890</v>
      </c>
    </row>
    <row r="10" spans="1:11" ht="54" x14ac:dyDescent="0.25">
      <c r="A10" s="17" t="s">
        <v>3891</v>
      </c>
      <c r="B10" s="7" t="s">
        <v>1</v>
      </c>
      <c r="C10" s="7" t="s">
        <v>3882</v>
      </c>
      <c r="D10" s="7" t="s">
        <v>3892</v>
      </c>
      <c r="E10" s="7" t="s">
        <v>3893</v>
      </c>
      <c r="F10" s="7" t="s">
        <v>3885</v>
      </c>
      <c r="G10" s="7" t="s">
        <v>104</v>
      </c>
      <c r="H10" s="7"/>
      <c r="I10" s="7" t="s">
        <v>87</v>
      </c>
      <c r="J10" s="7" t="s">
        <v>290</v>
      </c>
      <c r="K10" s="10" t="s">
        <v>3894</v>
      </c>
    </row>
    <row r="11" spans="1:11" ht="54" x14ac:dyDescent="0.25">
      <c r="A11" s="58" t="s">
        <v>3895</v>
      </c>
      <c r="B11" s="7" t="s">
        <v>1</v>
      </c>
      <c r="C11" s="7" t="s">
        <v>3896</v>
      </c>
      <c r="D11" s="7" t="s">
        <v>3897</v>
      </c>
      <c r="E11" s="7" t="s">
        <v>3898</v>
      </c>
      <c r="F11" s="7" t="s">
        <v>3885</v>
      </c>
      <c r="G11" s="7" t="s">
        <v>104</v>
      </c>
      <c r="H11" s="7"/>
      <c r="I11" s="7" t="s">
        <v>87</v>
      </c>
      <c r="J11" s="7" t="s">
        <v>290</v>
      </c>
      <c r="K11" s="10" t="s">
        <v>3899</v>
      </c>
    </row>
    <row r="12" spans="1:11" ht="54" x14ac:dyDescent="0.25">
      <c r="A12" s="17" t="s">
        <v>3900</v>
      </c>
      <c r="B12" s="7" t="s">
        <v>1</v>
      </c>
      <c r="C12" s="7" t="s">
        <v>3896</v>
      </c>
      <c r="D12" s="7" t="s">
        <v>3901</v>
      </c>
      <c r="E12" s="7" t="s">
        <v>3902</v>
      </c>
      <c r="F12" s="7" t="s">
        <v>3903</v>
      </c>
      <c r="G12" s="7" t="s">
        <v>104</v>
      </c>
      <c r="H12" s="7"/>
      <c r="I12" s="7" t="s">
        <v>87</v>
      </c>
      <c r="J12" s="7" t="s">
        <v>290</v>
      </c>
      <c r="K12" s="10" t="s">
        <v>3904</v>
      </c>
    </row>
    <row r="13" spans="1:11" ht="54" x14ac:dyDescent="0.25">
      <c r="A13" s="17" t="s">
        <v>3905</v>
      </c>
      <c r="B13" s="7" t="s">
        <v>1</v>
      </c>
      <c r="C13" s="7" t="s">
        <v>3906</v>
      </c>
      <c r="D13" s="7" t="s">
        <v>3907</v>
      </c>
      <c r="E13" s="7" t="s">
        <v>3908</v>
      </c>
      <c r="F13" s="7" t="s">
        <v>3903</v>
      </c>
      <c r="G13" s="7" t="s">
        <v>104</v>
      </c>
      <c r="H13" s="7"/>
      <c r="I13" s="7" t="s">
        <v>87</v>
      </c>
      <c r="J13" s="7" t="s">
        <v>290</v>
      </c>
      <c r="K13" s="10" t="s">
        <v>3909</v>
      </c>
    </row>
    <row r="14" spans="1:11" ht="54" x14ac:dyDescent="0.25">
      <c r="A14" s="17" t="s">
        <v>3910</v>
      </c>
      <c r="B14" s="7" t="s">
        <v>1</v>
      </c>
      <c r="C14" s="7" t="s">
        <v>3911</v>
      </c>
      <c r="D14" s="7" t="s">
        <v>3912</v>
      </c>
      <c r="E14" s="7" t="s">
        <v>3913</v>
      </c>
      <c r="F14" s="7" t="s">
        <v>3903</v>
      </c>
      <c r="G14" s="7" t="s">
        <v>104</v>
      </c>
      <c r="H14" s="7"/>
      <c r="I14" s="7" t="s">
        <v>87</v>
      </c>
      <c r="J14" s="7" t="s">
        <v>290</v>
      </c>
      <c r="K14" s="10" t="s">
        <v>3914</v>
      </c>
    </row>
    <row r="15" spans="1:11" ht="40.5" x14ac:dyDescent="0.25">
      <c r="A15" s="17" t="s">
        <v>3915</v>
      </c>
      <c r="B15" s="7" t="s">
        <v>4</v>
      </c>
      <c r="C15" s="7" t="s">
        <v>3916</v>
      </c>
      <c r="D15" s="7" t="s">
        <v>3917</v>
      </c>
      <c r="E15" s="7" t="s">
        <v>3918</v>
      </c>
      <c r="F15" s="7" t="s">
        <v>3919</v>
      </c>
      <c r="G15" s="7" t="s">
        <v>104</v>
      </c>
      <c r="H15" s="7"/>
      <c r="I15" s="7" t="s">
        <v>87</v>
      </c>
      <c r="J15" s="7" t="s">
        <v>290</v>
      </c>
      <c r="K15" s="10" t="s">
        <v>3920</v>
      </c>
    </row>
    <row r="16" spans="1:11" ht="54" x14ac:dyDescent="0.25">
      <c r="A16" s="17" t="s">
        <v>3921</v>
      </c>
      <c r="B16" s="7" t="s">
        <v>3</v>
      </c>
      <c r="C16" s="7" t="s">
        <v>3922</v>
      </c>
      <c r="D16" s="7" t="s">
        <v>3917</v>
      </c>
      <c r="E16" s="7" t="s">
        <v>3923</v>
      </c>
      <c r="F16" s="7" t="s">
        <v>3919</v>
      </c>
      <c r="G16" s="7" t="s">
        <v>104</v>
      </c>
      <c r="H16" s="7"/>
      <c r="I16" s="7" t="s">
        <v>87</v>
      </c>
      <c r="J16" s="7" t="s">
        <v>290</v>
      </c>
      <c r="K16" s="10" t="s">
        <v>3924</v>
      </c>
    </row>
    <row r="17" spans="1:11" ht="40.5" x14ac:dyDescent="0.25">
      <c r="A17" s="17" t="s">
        <v>3925</v>
      </c>
      <c r="B17" s="7" t="s">
        <v>2</v>
      </c>
      <c r="C17" s="7" t="s">
        <v>3926</v>
      </c>
      <c r="D17" s="7" t="s">
        <v>3927</v>
      </c>
      <c r="E17" s="7" t="s">
        <v>3928</v>
      </c>
      <c r="F17" s="7" t="s">
        <v>3919</v>
      </c>
      <c r="G17" s="7" t="s">
        <v>104</v>
      </c>
      <c r="H17" s="7"/>
      <c r="I17" s="7" t="s">
        <v>87</v>
      </c>
      <c r="J17" s="7" t="s">
        <v>290</v>
      </c>
      <c r="K17" s="10" t="s">
        <v>3929</v>
      </c>
    </row>
    <row r="18" spans="1:11" ht="40.5" x14ac:dyDescent="0.25">
      <c r="A18" s="17" t="s">
        <v>3930</v>
      </c>
      <c r="B18" s="7" t="s">
        <v>2</v>
      </c>
      <c r="C18" s="7" t="s">
        <v>1364</v>
      </c>
      <c r="D18" s="7" t="s">
        <v>3901</v>
      </c>
      <c r="E18" s="7" t="s">
        <v>3931</v>
      </c>
      <c r="F18" s="7" t="s">
        <v>3903</v>
      </c>
      <c r="G18" s="7" t="s">
        <v>104</v>
      </c>
      <c r="H18" s="7"/>
      <c r="I18" s="7" t="s">
        <v>87</v>
      </c>
      <c r="J18" s="7" t="s">
        <v>290</v>
      </c>
      <c r="K18" s="10" t="s">
        <v>3932</v>
      </c>
    </row>
    <row r="19" spans="1:11" ht="54" x14ac:dyDescent="0.25">
      <c r="A19" s="17" t="s">
        <v>3933</v>
      </c>
      <c r="B19" s="7" t="s">
        <v>2</v>
      </c>
      <c r="C19" s="7" t="s">
        <v>3934</v>
      </c>
      <c r="D19" s="7" t="s">
        <v>3935</v>
      </c>
      <c r="E19" s="7" t="s">
        <v>3936</v>
      </c>
      <c r="F19" s="7" t="s">
        <v>3919</v>
      </c>
      <c r="G19" s="7" t="s">
        <v>104</v>
      </c>
      <c r="H19" s="7"/>
      <c r="I19" s="7" t="s">
        <v>87</v>
      </c>
      <c r="J19" s="7" t="s">
        <v>290</v>
      </c>
      <c r="K19" s="10" t="s">
        <v>3937</v>
      </c>
    </row>
  </sheetData>
  <mergeCells count="3">
    <mergeCell ref="A1:K1"/>
    <mergeCell ref="A2:K2"/>
    <mergeCell ref="A5:K5"/>
  </mergeCells>
  <dataValidations count="3">
    <dataValidation type="list" allowBlank="1" showInputMessage="1" showErrorMessage="1" errorTitle="Valor no permitido" error="Selecciona un valor de la lista." sqref="G8:H19" xr:uid="{1878FDF1-C066-42AF-B22B-22582437E8D7}">
      <formula1>lstSiNo</formula1>
    </dataValidation>
    <dataValidation type="list" allowBlank="1" showInputMessage="1" showErrorMessage="1" errorTitle="Valor no permitido" error="Selecciona un valor de la lista." sqref="I8:I19" xr:uid="{D8B950A5-F4E3-4F31-838B-D1DFD474F7CE}">
      <formula1>lstEstadosRegistro</formula1>
    </dataValidation>
    <dataValidation type="list" allowBlank="1" showInputMessage="1" showErrorMessage="1" errorTitle="Valor no permitido" error="Selecciona un valor de la lista." sqref="B8:B19" xr:uid="{1A015738-42E9-4003-A1E9-D633EDE5CE55}">
      <formula1>lstSedes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3F92-5C6A-494F-9101-1384170CBB9D}">
  <sheetPr codeName="Hoja11">
    <tabColor rgb="FF148480"/>
    <pageSetUpPr fitToPage="1"/>
  </sheetPr>
  <dimension ref="A1:P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9.7109375" style="15" customWidth="1"/>
    <col min="2" max="2" width="19.7109375" style="2" customWidth="1"/>
    <col min="3" max="5" width="20.7109375" style="2" customWidth="1"/>
    <col min="6" max="6" width="13.7109375" style="2" customWidth="1"/>
    <col min="7" max="7" width="20.7109375" style="2" customWidth="1"/>
    <col min="8" max="8" width="19.7109375" style="2" customWidth="1"/>
    <col min="9" max="9" width="18.7109375" style="2" customWidth="1"/>
    <col min="10" max="10" width="13.7109375" style="2" customWidth="1"/>
    <col min="11" max="12" width="18.7109375" style="2" customWidth="1"/>
    <col min="13" max="13" width="15.7109375" style="2" customWidth="1"/>
    <col min="14" max="14" width="18.7109375" style="2" customWidth="1"/>
    <col min="15" max="15" width="23.7109375" style="2" customWidth="1"/>
    <col min="16" max="16" width="32.7109375" style="2" customWidth="1"/>
    <col min="17" max="16384" width="11.42578125" style="2"/>
  </cols>
  <sheetData>
    <row r="1" spans="1:16" ht="36" customHeight="1" x14ac:dyDescent="0.25">
      <c r="A1" s="32" t="s">
        <v>141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</row>
    <row r="2" spans="1:16" ht="30" customHeight="1" x14ac:dyDescent="0.25">
      <c r="A2" s="33" t="s">
        <v>142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</row>
    <row r="5" spans="1:16" ht="32.1" customHeight="1" x14ac:dyDescent="0.25">
      <c r="A5" s="34" t="s">
        <v>143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</row>
    <row r="6" spans="1:16" ht="8.1" customHeight="1" x14ac:dyDescent="0.25"/>
    <row r="7" spans="1:16" ht="36" customHeight="1" x14ac:dyDescent="0.25">
      <c r="A7" s="16" t="s">
        <v>144</v>
      </c>
      <c r="B7" s="5" t="s">
        <v>145</v>
      </c>
      <c r="C7" s="3" t="s">
        <v>146</v>
      </c>
      <c r="D7" s="3" t="s">
        <v>147</v>
      </c>
      <c r="E7" s="3" t="s">
        <v>148</v>
      </c>
      <c r="F7" s="3" t="s">
        <v>149</v>
      </c>
      <c r="G7" s="3" t="s">
        <v>150</v>
      </c>
      <c r="H7" s="3" t="s">
        <v>113</v>
      </c>
      <c r="I7" s="3" t="s">
        <v>117</v>
      </c>
      <c r="J7" s="3" t="s">
        <v>23</v>
      </c>
      <c r="K7" s="4" t="s">
        <v>151</v>
      </c>
      <c r="L7" s="4" t="s">
        <v>152</v>
      </c>
      <c r="M7" s="19" t="s">
        <v>153</v>
      </c>
      <c r="N7" s="5" t="s">
        <v>154</v>
      </c>
      <c r="O7" s="3" t="s">
        <v>155</v>
      </c>
      <c r="P7" s="6" t="s">
        <v>131</v>
      </c>
    </row>
    <row r="8" spans="1:16" x14ac:dyDescent="0.25">
      <c r="A8" s="18"/>
      <c r="B8" s="13"/>
      <c r="C8" s="11"/>
      <c r="D8" s="11"/>
      <c r="E8" s="11"/>
      <c r="F8" s="11"/>
      <c r="G8" s="11"/>
      <c r="H8" s="11"/>
      <c r="I8" s="11"/>
      <c r="J8" s="11"/>
      <c r="K8" s="12"/>
      <c r="L8" s="12"/>
      <c r="M8" s="20" t="str">
        <f>IF(OR(K8="",L8=""),"",IFERROR(L8/K8,0))</f>
        <v/>
      </c>
      <c r="N8" s="13"/>
      <c r="O8" s="11"/>
      <c r="P8" s="14"/>
    </row>
  </sheetData>
  <mergeCells count="3">
    <mergeCell ref="A1:P1"/>
    <mergeCell ref="A2:P2"/>
    <mergeCell ref="A5:P5"/>
  </mergeCells>
  <dataValidations count="5">
    <dataValidation type="list" allowBlank="1" showInputMessage="1" showErrorMessage="1" errorTitle="Valor no permitido" error="Selecciona un valor de la lista." sqref="D8:E8" xr:uid="{28C8FB9C-F2C4-4A37-8F74-AC22805DBD49}">
      <formula1>lstUbicaciones</formula1>
    </dataValidation>
    <dataValidation type="list" allowBlank="1" showInputMessage="1" showErrorMessage="1" errorTitle="Valor no permitido" error="Selecciona un valor de la lista." sqref="F8" xr:uid="{87560D2F-18A8-46B3-84B5-E8B421AC77F3}">
      <formula1>lstPrioridades</formula1>
    </dataValidation>
    <dataValidation type="list" allowBlank="1" showInputMessage="1" showErrorMessage="1" errorTitle="Valor no permitido" error="Selecciona un valor de la lista." sqref="H8" xr:uid="{96275F01-B69B-46A6-BC5C-DD3D228AEDEB}">
      <formula1>lstProductos</formula1>
    </dataValidation>
    <dataValidation type="list" allowBlank="1" showInputMessage="1" showErrorMessage="1" errorTitle="Valor no permitido" error="Selecciona un valor de la lista." sqref="G8" xr:uid="{82792926-DE7C-4D44-95F9-D2523595D527}">
      <formula1>lstEstadosSolicitud</formula1>
    </dataValidation>
    <dataValidation type="list" allowBlank="1" showInputMessage="1" showErrorMessage="1" errorTitle="Valor no permitido" error="Selecciona un valor de la lista." sqref="J8" xr:uid="{FC809611-6099-4138-87A8-636D27CD6DAD}">
      <formula1>lstUnidades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B6291-5DA8-4671-97CE-A01765DEC14E}">
  <sheetPr codeName="Hoja10">
    <tabColor rgb="FF148480"/>
    <pageSetUpPr fitToPage="1"/>
  </sheetPr>
  <dimension ref="A1:W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5" customWidth="1"/>
    <col min="2" max="2" width="18.7109375" style="2" customWidth="1"/>
    <col min="3" max="3" width="19.7109375" style="2" customWidth="1"/>
    <col min="4" max="5" width="20.7109375" style="2" customWidth="1"/>
    <col min="6" max="6" width="18.7109375" style="2" customWidth="1"/>
    <col min="7" max="7" width="19.7109375" style="2" customWidth="1"/>
    <col min="8" max="8" width="18.7109375" style="2" customWidth="1"/>
    <col min="9" max="9" width="16.7109375" style="2" customWidth="1"/>
    <col min="10" max="10" width="18.7109375" style="2" customWidth="1"/>
    <col min="11" max="11" width="13.7109375" style="2" customWidth="1"/>
    <col min="12" max="14" width="18.7109375" style="2" customWidth="1"/>
    <col min="15" max="15" width="17.7109375" style="2" customWidth="1"/>
    <col min="16" max="16" width="19.7109375" style="2" customWidth="1"/>
    <col min="17" max="17" width="18.7109375" style="2" customWidth="1"/>
    <col min="18" max="18" width="20.7109375" style="2" customWidth="1"/>
    <col min="19" max="19" width="16.7109375" style="2" customWidth="1"/>
    <col min="20" max="21" width="20.7109375" style="2" customWidth="1"/>
    <col min="22" max="22" width="28.7109375" style="2" customWidth="1"/>
    <col min="23" max="23" width="32.7109375" style="2" customWidth="1"/>
    <col min="24" max="16384" width="11.42578125" style="2"/>
  </cols>
  <sheetData>
    <row r="1" spans="1:23" ht="36" customHeight="1" x14ac:dyDescent="0.25">
      <c r="A1" s="32" t="s">
        <v>156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</row>
    <row r="2" spans="1:23" ht="30" customHeight="1" x14ac:dyDescent="0.25">
      <c r="A2" s="33" t="s">
        <v>157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</row>
    <row r="5" spans="1:23" ht="32.1" customHeight="1" x14ac:dyDescent="0.25">
      <c r="A5" s="34" t="s">
        <v>158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</row>
    <row r="6" spans="1:23" ht="8.1" customHeight="1" x14ac:dyDescent="0.25"/>
    <row r="7" spans="1:23" ht="36" customHeight="1" x14ac:dyDescent="0.25">
      <c r="A7" s="16" t="s">
        <v>159</v>
      </c>
      <c r="B7" s="3" t="s">
        <v>144</v>
      </c>
      <c r="C7" s="5" t="s">
        <v>160</v>
      </c>
      <c r="D7" s="3" t="s">
        <v>147</v>
      </c>
      <c r="E7" s="3" t="s">
        <v>148</v>
      </c>
      <c r="F7" s="3" t="s">
        <v>150</v>
      </c>
      <c r="G7" s="3" t="s">
        <v>113</v>
      </c>
      <c r="H7" s="3" t="s">
        <v>117</v>
      </c>
      <c r="I7" s="3" t="s">
        <v>161</v>
      </c>
      <c r="J7" s="5" t="s">
        <v>162</v>
      </c>
      <c r="K7" s="3" t="s">
        <v>23</v>
      </c>
      <c r="L7" s="4" t="s">
        <v>151</v>
      </c>
      <c r="M7" s="4" t="s">
        <v>152</v>
      </c>
      <c r="N7" s="4" t="s">
        <v>163</v>
      </c>
      <c r="O7" s="4" t="s">
        <v>164</v>
      </c>
      <c r="P7" s="4" t="s">
        <v>165</v>
      </c>
      <c r="Q7" s="4" t="s">
        <v>166</v>
      </c>
      <c r="R7" s="4" t="s">
        <v>167</v>
      </c>
      <c r="S7" s="19" t="s">
        <v>168</v>
      </c>
      <c r="T7" s="3" t="s">
        <v>169</v>
      </c>
      <c r="U7" s="3" t="s">
        <v>170</v>
      </c>
      <c r="V7" s="3" t="s">
        <v>171</v>
      </c>
      <c r="W7" s="6" t="s">
        <v>131</v>
      </c>
    </row>
    <row r="8" spans="1:23" x14ac:dyDescent="0.25">
      <c r="A8" s="18"/>
      <c r="B8" s="11"/>
      <c r="C8" s="13"/>
      <c r="D8" s="11"/>
      <c r="E8" s="11"/>
      <c r="F8" s="11"/>
      <c r="G8" s="11"/>
      <c r="H8" s="11"/>
      <c r="I8" s="11"/>
      <c r="J8" s="13"/>
      <c r="K8" s="11"/>
      <c r="L8" s="12"/>
      <c r="M8" s="12"/>
      <c r="N8" s="12"/>
      <c r="O8" s="12"/>
      <c r="P8" s="12"/>
      <c r="Q8" s="21" t="str">
        <f>IF(OR(A8="",G8=""),"",SUMIFS('05_RECEPCIONES'!$I$8:$I$200,'05_RECEPCIONES'!$B$8:$B$200,A8,'05_RECEPCIONES'!$F$8:$F$200,G8,'05_RECEPCIONES'!$G$8:$G$200,I8))</f>
        <v/>
      </c>
      <c r="R8" s="21" t="str">
        <f>IF(OR(P8="",Q8=""),"",Q8-P8)</f>
        <v/>
      </c>
      <c r="S8" s="20" t="str">
        <f>IF(OR(P8="",Q8=""),"",IFERROR(Q8/P8,0))</f>
        <v/>
      </c>
      <c r="T8" s="11"/>
      <c r="U8" s="11"/>
      <c r="V8" s="11"/>
      <c r="W8" s="14"/>
    </row>
  </sheetData>
  <mergeCells count="3">
    <mergeCell ref="A1:W1"/>
    <mergeCell ref="A2:W2"/>
    <mergeCell ref="A5:W5"/>
  </mergeCells>
  <dataValidations count="4">
    <dataValidation type="list" allowBlank="1" showInputMessage="1" showErrorMessage="1" errorTitle="Valor no permitido" error="Selecciona un valor de la lista." sqref="F8" xr:uid="{F90BF2CB-3A3E-476E-9223-65B83CEBF17A}">
      <formula1>lstEstadosRemision</formula1>
    </dataValidation>
    <dataValidation type="list" allowBlank="1" showInputMessage="1" showErrorMessage="1" errorTitle="Valor no permitido" error="Selecciona un valor de la lista." sqref="G8" xr:uid="{48AB5156-1B58-4E3B-A0C7-69EA078F72CF}">
      <formula1>lstProductos</formula1>
    </dataValidation>
    <dataValidation type="list" allowBlank="1" showInputMessage="1" showErrorMessage="1" errorTitle="Valor no permitido" error="Selecciona un valor de la lista." sqref="D8:E8" xr:uid="{0B9CE129-1C4B-4F30-885D-395A3C3CB809}">
      <formula1>lstUbicaciones</formula1>
    </dataValidation>
    <dataValidation type="list" allowBlank="1" showInputMessage="1" showErrorMessage="1" errorTitle="Valor no permitido" error="Selecciona un valor de la lista." sqref="K8" xr:uid="{225600E2-3473-4B5A-AB6D-4630ECF563DF}">
      <formula1>lstUnidades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29074-01AA-49F7-A315-050FADDBF3BE}">
  <sheetPr codeName="Hoja9">
    <tabColor rgb="FF148480"/>
    <pageSetUpPr fitToPage="1"/>
  </sheetPr>
  <dimension ref="A1:Q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5" customWidth="1"/>
    <col min="2" max="2" width="18.7109375" style="2" customWidth="1"/>
    <col min="3" max="3" width="19.7109375" style="2" customWidth="1"/>
    <col min="4" max="4" width="20.7109375" style="2" customWidth="1"/>
    <col min="5" max="5" width="18.7109375" style="2" customWidth="1"/>
    <col min="6" max="6" width="19.7109375" style="2" customWidth="1"/>
    <col min="7" max="7" width="16.7109375" style="2" customWidth="1"/>
    <col min="8" max="8" width="13.7109375" style="2" customWidth="1"/>
    <col min="9" max="10" width="18.7109375" style="2" customWidth="1"/>
    <col min="11" max="11" width="21.7109375" style="2" customWidth="1"/>
    <col min="12" max="12" width="15.7109375" style="2" customWidth="1"/>
    <col min="13" max="13" width="22.7109375" style="2" customWidth="1"/>
    <col min="14" max="14" width="18.7109375" style="2" customWidth="1"/>
    <col min="15" max="15" width="20.7109375" style="2" customWidth="1"/>
    <col min="16" max="16" width="28.7109375" style="2" customWidth="1"/>
    <col min="17" max="17" width="32.7109375" style="2" customWidth="1"/>
    <col min="18" max="16384" width="11.42578125" style="2"/>
  </cols>
  <sheetData>
    <row r="1" spans="1:17" ht="36" customHeight="1" x14ac:dyDescent="0.25">
      <c r="A1" s="32" t="s">
        <v>172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</row>
    <row r="2" spans="1:17" ht="30" customHeight="1" x14ac:dyDescent="0.25">
      <c r="A2" s="33" t="s">
        <v>173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</row>
    <row r="5" spans="1:17" ht="32.1" customHeight="1" x14ac:dyDescent="0.25">
      <c r="A5" s="34" t="s">
        <v>174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</row>
    <row r="6" spans="1:17" ht="8.1" customHeight="1" x14ac:dyDescent="0.25"/>
    <row r="7" spans="1:17" ht="36" customHeight="1" x14ac:dyDescent="0.25">
      <c r="A7" s="16" t="s">
        <v>175</v>
      </c>
      <c r="B7" s="3" t="s">
        <v>159</v>
      </c>
      <c r="C7" s="5" t="s">
        <v>176</v>
      </c>
      <c r="D7" s="3" t="s">
        <v>148</v>
      </c>
      <c r="E7" s="3" t="s">
        <v>177</v>
      </c>
      <c r="F7" s="3" t="s">
        <v>113</v>
      </c>
      <c r="G7" s="3" t="s">
        <v>161</v>
      </c>
      <c r="H7" s="3" t="s">
        <v>23</v>
      </c>
      <c r="I7" s="4" t="s">
        <v>166</v>
      </c>
      <c r="J7" s="4" t="s">
        <v>178</v>
      </c>
      <c r="K7" s="4" t="s">
        <v>179</v>
      </c>
      <c r="L7" s="4" t="s">
        <v>180</v>
      </c>
      <c r="M7" s="3" t="s">
        <v>181</v>
      </c>
      <c r="N7" s="3" t="s">
        <v>182</v>
      </c>
      <c r="O7" s="3" t="s">
        <v>130</v>
      </c>
      <c r="P7" s="3" t="s">
        <v>171</v>
      </c>
      <c r="Q7" s="6" t="s">
        <v>131</v>
      </c>
    </row>
    <row r="8" spans="1:17" x14ac:dyDescent="0.25">
      <c r="A8" s="18"/>
      <c r="B8" s="11"/>
      <c r="C8" s="13"/>
      <c r="D8" s="11"/>
      <c r="E8" s="11"/>
      <c r="F8" s="11"/>
      <c r="G8" s="11"/>
      <c r="H8" s="11"/>
      <c r="I8" s="12"/>
      <c r="J8" s="12"/>
      <c r="K8" s="12"/>
      <c r="L8" s="12"/>
      <c r="M8" s="11"/>
      <c r="N8" s="11"/>
      <c r="O8" s="11"/>
      <c r="P8" s="11"/>
      <c r="Q8" s="14"/>
    </row>
  </sheetData>
  <mergeCells count="3">
    <mergeCell ref="A1:Q1"/>
    <mergeCell ref="A2:Q2"/>
    <mergeCell ref="A5:Q5"/>
  </mergeCells>
  <dataValidations count="6">
    <dataValidation type="list" allowBlank="1" showInputMessage="1" showErrorMessage="1" errorTitle="Valor no permitido" error="Selecciona un valor de la lista." sqref="E8" xr:uid="{EBCC7DE3-44AF-4008-98CD-1B4147894C07}">
      <formula1>lstMetodosRecepcion</formula1>
    </dataValidation>
    <dataValidation type="list" allowBlank="1" showInputMessage="1" showErrorMessage="1" errorTitle="Valor no permitido" error="Selecciona un valor de la lista." sqref="F8" xr:uid="{999C9821-0DAE-47DF-8C4B-467E2289607A}">
      <formula1>lstProductos</formula1>
    </dataValidation>
    <dataValidation type="list" allowBlank="1" showInputMessage="1" showErrorMessage="1" errorTitle="Valor no permitido" error="Selecciona un valor de la lista." sqref="M8" xr:uid="{CDD8B2E9-101E-472A-93C2-A464BACDAAF2}">
      <formula1>lstCondiciones</formula1>
    </dataValidation>
    <dataValidation type="list" allowBlank="1" showInputMessage="1" showErrorMessage="1" errorTitle="Valor no permitido" error="Selecciona un valor de la lista." sqref="N8" xr:uid="{A3499F87-2BF2-41CE-8C6C-CB36B1C6410F}">
      <formula1>lstDecisiones</formula1>
    </dataValidation>
    <dataValidation type="list" allowBlank="1" showInputMessage="1" showErrorMessage="1" errorTitle="Valor no permitido" error="Selecciona un valor de la lista." sqref="D8" xr:uid="{284ABB04-87F2-4AE5-94A5-24C458C0D374}">
      <formula1>lstUbicaciones</formula1>
    </dataValidation>
    <dataValidation type="list" allowBlank="1" showInputMessage="1" showErrorMessage="1" errorTitle="Valor no permitido" error="Selecciona un valor de la lista." sqref="H8" xr:uid="{83021468-D45C-4D13-8A75-26C62B5900D0}">
      <formula1>lstUnidades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D9B60-C58C-4561-A46E-B05F3CE7E541}">
  <sheetPr codeName="Hoja8">
    <tabColor rgb="FFE67E22"/>
    <pageSetUpPr fitToPage="1"/>
  </sheetPr>
  <dimension ref="A1:R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20.7109375" style="15" customWidth="1"/>
    <col min="2" max="2" width="19.7109375" style="2" customWidth="1"/>
    <col min="3" max="3" width="22.7109375" style="2" customWidth="1"/>
    <col min="4" max="4" width="19.7109375" style="2" customWidth="1"/>
    <col min="5" max="5" width="20.7109375" style="2" customWidth="1"/>
    <col min="6" max="6" width="18.7109375" style="2" customWidth="1"/>
    <col min="7" max="7" width="19.7109375" style="2" customWidth="1"/>
    <col min="8" max="8" width="18.7109375" style="2" customWidth="1"/>
    <col min="9" max="9" width="16.7109375" style="2" customWidth="1"/>
    <col min="10" max="10" width="13.7109375" style="2" customWidth="1"/>
    <col min="11" max="11" width="25.7109375" style="2" customWidth="1"/>
    <col min="12" max="12" width="18.7109375" style="2" customWidth="1"/>
    <col min="13" max="13" width="15.7109375" style="2" customWidth="1"/>
    <col min="14" max="14" width="30.7109375" style="2" customWidth="1"/>
    <col min="15" max="15" width="21.7109375" style="2" customWidth="1"/>
    <col min="16" max="16" width="18.7109375" style="2" customWidth="1"/>
    <col min="17" max="17" width="28.7109375" style="2" customWidth="1"/>
    <col min="18" max="18" width="32.7109375" style="2" customWidth="1"/>
    <col min="19" max="16384" width="11.42578125" style="2"/>
  </cols>
  <sheetData>
    <row r="1" spans="1:18" ht="36" customHeight="1" x14ac:dyDescent="0.25">
      <c r="A1" s="32" t="s">
        <v>183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</row>
    <row r="2" spans="1:18" ht="30" customHeight="1" x14ac:dyDescent="0.25">
      <c r="A2" s="33" t="s">
        <v>184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</row>
    <row r="5" spans="1:18" ht="32.1" customHeight="1" x14ac:dyDescent="0.25">
      <c r="A5" s="34" t="s">
        <v>185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</row>
    <row r="6" spans="1:18" ht="8.1" customHeight="1" x14ac:dyDescent="0.25"/>
    <row r="7" spans="1:18" ht="36" customHeight="1" x14ac:dyDescent="0.25">
      <c r="A7" s="16" t="s">
        <v>186</v>
      </c>
      <c r="B7" s="5" t="s">
        <v>187</v>
      </c>
      <c r="C7" s="3" t="s">
        <v>134</v>
      </c>
      <c r="D7" s="3" t="s">
        <v>133</v>
      </c>
      <c r="E7" s="3" t="s">
        <v>130</v>
      </c>
      <c r="F7" s="3" t="s">
        <v>188</v>
      </c>
      <c r="G7" s="3" t="s">
        <v>113</v>
      </c>
      <c r="H7" s="3" t="s">
        <v>117</v>
      </c>
      <c r="I7" s="3" t="s">
        <v>161</v>
      </c>
      <c r="J7" s="3" t="s">
        <v>23</v>
      </c>
      <c r="K7" s="4" t="s">
        <v>189</v>
      </c>
      <c r="L7" s="4" t="s">
        <v>190</v>
      </c>
      <c r="M7" s="4" t="s">
        <v>191</v>
      </c>
      <c r="N7" s="3" t="s">
        <v>192</v>
      </c>
      <c r="O7" s="3" t="s">
        <v>193</v>
      </c>
      <c r="P7" s="3" t="s">
        <v>150</v>
      </c>
      <c r="Q7" s="3" t="s">
        <v>171</v>
      </c>
      <c r="R7" s="6" t="s">
        <v>131</v>
      </c>
    </row>
    <row r="8" spans="1:18" x14ac:dyDescent="0.25">
      <c r="A8" s="18"/>
      <c r="B8" s="13"/>
      <c r="C8" s="11"/>
      <c r="D8" s="11"/>
      <c r="E8" s="11"/>
      <c r="F8" s="11"/>
      <c r="G8" s="11"/>
      <c r="H8" s="11"/>
      <c r="I8" s="11"/>
      <c r="J8" s="11"/>
      <c r="K8" s="12"/>
      <c r="L8" s="12"/>
      <c r="M8" s="21" t="str">
        <f>IF(OR(K8="",L8=""),"",L8-K8)</f>
        <v/>
      </c>
      <c r="N8" s="11"/>
      <c r="O8" s="11"/>
      <c r="P8" s="11"/>
      <c r="Q8" s="11"/>
      <c r="R8" s="14"/>
    </row>
  </sheetData>
  <mergeCells count="3">
    <mergeCell ref="A1:R1"/>
    <mergeCell ref="A2:R2"/>
    <mergeCell ref="A5:R5"/>
  </mergeCells>
  <dataValidations count="6">
    <dataValidation type="list" allowBlank="1" showInputMessage="1" showErrorMessage="1" errorTitle="Valor no permitido" error="Selecciona un valor de la lista." sqref="J8" xr:uid="{536F81ED-0A33-44A2-A2EA-A48F58F129AE}">
      <formula1>lstUnidades</formula1>
    </dataValidation>
    <dataValidation type="list" allowBlank="1" showInputMessage="1" showErrorMessage="1" errorTitle="Valor no permitido" error="Selecciona un valor de la lista." sqref="G8" xr:uid="{D0E3099F-D912-44A0-9CB0-29DC6569B57F}">
      <formula1>lstProductos</formula1>
    </dataValidation>
    <dataValidation type="list" allowBlank="1" showInputMessage="1" showErrorMessage="1" errorTitle="Valor no permitido" error="Selecciona un valor de la lista." sqref="P8" xr:uid="{6916F97F-3DEC-40C0-867E-51A64DBF3C28}">
      <formula1>lstEstadosOperacion</formula1>
    </dataValidation>
    <dataValidation type="list" allowBlank="1" showInputMessage="1" showErrorMessage="1" errorTitle="Valor no permitido" error="Selecciona un valor de la lista." sqref="D8" xr:uid="{56CA8158-E5B7-4FBA-A226-A600970BFFE6}">
      <formula1>lstUbicaciones</formula1>
    </dataValidation>
    <dataValidation type="list" allowBlank="1" showInputMessage="1" showErrorMessage="1" errorTitle="Valor no permitido" error="Selecciona un valor de la lista." sqref="C8" xr:uid="{DBAE6210-D44F-4EF9-8F26-6AB7E2C0E8F6}">
      <formula1>lstSedes</formula1>
    </dataValidation>
    <dataValidation type="list" allowBlank="1" showInputMessage="1" showErrorMessage="1" errorTitle="Valor no permitido" error="Selecciona un valor de la lista." sqref="F8" xr:uid="{187A2C24-B47B-4830-8C6F-423749081322}">
      <formula1>lstMetodosConteo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D432-BCD4-400D-866A-810598DE899C}">
  <sheetPr codeName="Hoja7">
    <tabColor rgb="FFE67E22"/>
    <pageSetUpPr fitToPage="1"/>
  </sheetPr>
  <dimension ref="A1:Q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9.7109375" style="15" customWidth="1"/>
    <col min="2" max="2" width="19.7109375" style="2" customWidth="1"/>
    <col min="3" max="3" width="21.7109375" style="2" customWidth="1"/>
    <col min="4" max="5" width="20.7109375" style="2" customWidth="1"/>
    <col min="6" max="6" width="19.7109375" style="2" customWidth="1"/>
    <col min="7" max="7" width="18.7109375" style="2" customWidth="1"/>
    <col min="8" max="8" width="16.7109375" style="2" customWidth="1"/>
    <col min="9" max="9" width="13.7109375" style="2" customWidth="1"/>
    <col min="10" max="10" width="15.7109375" style="2" customWidth="1"/>
    <col min="11" max="12" width="20.7109375" style="2" customWidth="1"/>
    <col min="13" max="13" width="24.7109375" style="2" customWidth="1"/>
    <col min="14" max="14" width="20.7109375" style="2" customWidth="1"/>
    <col min="15" max="15" width="28.7109375" style="2" customWidth="1"/>
    <col min="16" max="16" width="18.7109375" style="2" customWidth="1"/>
    <col min="17" max="17" width="32.7109375" style="2" customWidth="1"/>
    <col min="18" max="16384" width="11.42578125" style="2"/>
  </cols>
  <sheetData>
    <row r="1" spans="1:17" ht="36" customHeight="1" x14ac:dyDescent="0.25">
      <c r="A1" s="32" t="s">
        <v>194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</row>
    <row r="2" spans="1:17" ht="30" customHeight="1" x14ac:dyDescent="0.25">
      <c r="A2" s="33" t="s">
        <v>195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</row>
    <row r="5" spans="1:17" ht="32.1" customHeight="1" x14ac:dyDescent="0.25">
      <c r="A5" s="34" t="s">
        <v>196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</row>
    <row r="6" spans="1:17" ht="8.1" customHeight="1" x14ac:dyDescent="0.25"/>
    <row r="7" spans="1:17" ht="36" customHeight="1" x14ac:dyDescent="0.25">
      <c r="A7" s="16" t="s">
        <v>197</v>
      </c>
      <c r="B7" s="5" t="s">
        <v>198</v>
      </c>
      <c r="C7" s="3" t="s">
        <v>199</v>
      </c>
      <c r="D7" s="3" t="s">
        <v>147</v>
      </c>
      <c r="E7" s="3" t="s">
        <v>148</v>
      </c>
      <c r="F7" s="3" t="s">
        <v>113</v>
      </c>
      <c r="G7" s="3" t="s">
        <v>117</v>
      </c>
      <c r="H7" s="3" t="s">
        <v>161</v>
      </c>
      <c r="I7" s="3" t="s">
        <v>23</v>
      </c>
      <c r="J7" s="4" t="s">
        <v>200</v>
      </c>
      <c r="K7" s="3" t="s">
        <v>169</v>
      </c>
      <c r="L7" s="3" t="s">
        <v>201</v>
      </c>
      <c r="M7" s="3" t="s">
        <v>202</v>
      </c>
      <c r="N7" s="3" t="s">
        <v>130</v>
      </c>
      <c r="O7" s="3" t="s">
        <v>171</v>
      </c>
      <c r="P7" s="3" t="s">
        <v>150</v>
      </c>
      <c r="Q7" s="6" t="s">
        <v>131</v>
      </c>
    </row>
    <row r="8" spans="1:17" x14ac:dyDescent="0.25">
      <c r="A8" s="18"/>
      <c r="B8" s="13"/>
      <c r="C8" s="11"/>
      <c r="D8" s="11"/>
      <c r="E8" s="11"/>
      <c r="F8" s="11"/>
      <c r="G8" s="11"/>
      <c r="H8" s="11"/>
      <c r="I8" s="11"/>
      <c r="J8" s="12"/>
      <c r="K8" s="11"/>
      <c r="L8" s="11"/>
      <c r="M8" s="11"/>
      <c r="N8" s="11"/>
      <c r="O8" s="11"/>
      <c r="P8" s="11"/>
      <c r="Q8" s="14"/>
    </row>
  </sheetData>
  <mergeCells count="3">
    <mergeCell ref="A1:Q1"/>
    <mergeCell ref="A2:Q2"/>
    <mergeCell ref="A5:Q5"/>
  </mergeCells>
  <dataValidations count="5">
    <dataValidation type="list" allowBlank="1" showInputMessage="1" showErrorMessage="1" errorTitle="Valor no permitido" error="Selecciona un valor de la lista." sqref="D8:E8" xr:uid="{6396C4B6-AF7C-4C0E-BD47-9AFD659194E6}">
      <formula1>lstUbicaciones</formula1>
    </dataValidation>
    <dataValidation type="list" allowBlank="1" showInputMessage="1" showErrorMessage="1" errorTitle="Valor no permitido" error="Selecciona un valor de la lista." sqref="F8" xr:uid="{6C8BD596-5B6E-4BC2-8862-E337939E4669}">
      <formula1>lstProductos</formula1>
    </dataValidation>
    <dataValidation type="list" allowBlank="1" showInputMessage="1" showErrorMessage="1" errorTitle="Valor no permitido" error="Selecciona un valor de la lista." sqref="P8" xr:uid="{2A06FDC9-6029-437A-9805-582683C9584F}">
      <formula1>lstEstadosOperacion</formula1>
    </dataValidation>
    <dataValidation type="list" allowBlank="1" showInputMessage="1" showErrorMessage="1" errorTitle="Valor no permitido" error="Selecciona un valor de la lista." sqref="I8" xr:uid="{6087BFEC-53A0-4A9F-9CAF-14CE663CC581}">
      <formula1>lstUnidades</formula1>
    </dataValidation>
    <dataValidation type="list" allowBlank="1" showInputMessage="1" showErrorMessage="1" errorTitle="Valor no permitido" error="Selecciona un valor de la lista." sqref="C8" xr:uid="{4B1F9B09-848E-4435-A4BC-A56B6B1094C1}">
      <formula1>lstTiposMovimiento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A54F6-3F9C-4B45-9218-CC272ACA78DF}">
  <sheetPr codeName="Hoja6">
    <tabColor rgb="FFE67E22"/>
    <pageSetUpPr fitToPage="1"/>
  </sheetPr>
  <dimension ref="A1:U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22.7109375" style="15" customWidth="1"/>
    <col min="2" max="2" width="19.7109375" style="2" customWidth="1"/>
    <col min="3" max="3" width="18.7109375" style="2" customWidth="1"/>
    <col min="4" max="5" width="16.7109375" style="2" customWidth="1"/>
    <col min="6" max="6" width="20.7109375" style="2" customWidth="1"/>
    <col min="7" max="7" width="18.7109375" style="2" customWidth="1"/>
    <col min="8" max="8" width="21.7109375" style="2" customWidth="1"/>
    <col min="9" max="10" width="16.7109375" style="2" customWidth="1"/>
    <col min="11" max="11" width="17.7109375" style="2" customWidth="1"/>
    <col min="12" max="12" width="21.7109375" style="2" customWidth="1"/>
    <col min="13" max="15" width="15.7109375" style="2" customWidth="1"/>
    <col min="16" max="17" width="14.7109375" style="2" customWidth="1"/>
    <col min="18" max="18" width="16.7109375" style="2" customWidth="1"/>
    <col min="19" max="19" width="20.7109375" style="2" customWidth="1"/>
    <col min="20" max="20" width="28.7109375" style="2" customWidth="1"/>
    <col min="21" max="21" width="32.7109375" style="2" customWidth="1"/>
    <col min="22" max="16384" width="11.42578125" style="2"/>
  </cols>
  <sheetData>
    <row r="1" spans="1:21" ht="36" customHeight="1" x14ac:dyDescent="0.25">
      <c r="A1" s="32" t="s">
        <v>203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</row>
    <row r="2" spans="1:21" ht="30" customHeight="1" x14ac:dyDescent="0.25">
      <c r="A2" s="33" t="s">
        <v>204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</row>
    <row r="5" spans="1:21" ht="32.1" customHeight="1" x14ac:dyDescent="0.25">
      <c r="A5" s="34" t="s">
        <v>205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</row>
    <row r="6" spans="1:21" ht="8.1" customHeight="1" x14ac:dyDescent="0.25"/>
    <row r="7" spans="1:21" ht="36" customHeight="1" x14ac:dyDescent="0.25">
      <c r="A7" s="16" t="s">
        <v>206</v>
      </c>
      <c r="B7" s="5" t="s">
        <v>207</v>
      </c>
      <c r="C7" s="3" t="s">
        <v>208</v>
      </c>
      <c r="D7" s="3" t="s">
        <v>209</v>
      </c>
      <c r="E7" s="3" t="s">
        <v>210</v>
      </c>
      <c r="F7" s="3" t="s">
        <v>211</v>
      </c>
      <c r="G7" s="3" t="s">
        <v>212</v>
      </c>
      <c r="H7" s="3" t="s">
        <v>213</v>
      </c>
      <c r="I7" s="3" t="s">
        <v>214</v>
      </c>
      <c r="J7" s="3" t="s">
        <v>215</v>
      </c>
      <c r="K7" s="4" t="s">
        <v>216</v>
      </c>
      <c r="L7" s="3" t="s">
        <v>217</v>
      </c>
      <c r="M7" s="3" t="s">
        <v>218</v>
      </c>
      <c r="N7" s="4" t="s">
        <v>219</v>
      </c>
      <c r="O7" s="4" t="s">
        <v>220</v>
      </c>
      <c r="P7" s="4" t="s">
        <v>221</v>
      </c>
      <c r="Q7" s="4" t="s">
        <v>222</v>
      </c>
      <c r="R7" s="19" t="s">
        <v>223</v>
      </c>
      <c r="S7" s="3" t="s">
        <v>130</v>
      </c>
      <c r="T7" s="3" t="s">
        <v>171</v>
      </c>
      <c r="U7" s="6" t="s">
        <v>131</v>
      </c>
    </row>
    <row r="8" spans="1:21" x14ac:dyDescent="0.25">
      <c r="A8" s="18"/>
      <c r="B8" s="13"/>
      <c r="C8" s="11"/>
      <c r="D8" s="11"/>
      <c r="E8" s="11"/>
      <c r="F8" s="11"/>
      <c r="G8" s="11"/>
      <c r="H8" s="11"/>
      <c r="I8" s="11"/>
      <c r="J8" s="11"/>
      <c r="K8" s="12"/>
      <c r="L8" s="11"/>
      <c r="M8" s="11"/>
      <c r="N8" s="12"/>
      <c r="O8" s="12"/>
      <c r="P8" s="12"/>
      <c r="Q8" s="12"/>
      <c r="R8" s="20" t="str">
        <f>IF(OR(N8="",O8=""),"",IFERROR(O8/N8,0))</f>
        <v/>
      </c>
      <c r="S8" s="11"/>
      <c r="T8" s="11"/>
      <c r="U8" s="14"/>
    </row>
  </sheetData>
  <mergeCells count="3">
    <mergeCell ref="A1:U1"/>
    <mergeCell ref="A2:U2"/>
    <mergeCell ref="A5:U5"/>
  </mergeCells>
  <dataValidations count="4">
    <dataValidation type="list" allowBlank="1" showInputMessage="1" showErrorMessage="1" errorTitle="Valor no permitido" error="Selecciona un valor de la lista." sqref="M8 J8" xr:uid="{CB685B79-47DE-4104-853C-10B502F42820}">
      <formula1>lstUnidades</formula1>
    </dataValidation>
    <dataValidation type="list" allowBlank="1" showInputMessage="1" showErrorMessage="1" errorTitle="Valor no permitido" error="Selecciona un valor de la lista." sqref="F8" xr:uid="{28AF4B08-A7B3-4376-99ED-657EC8CB8697}">
      <formula1>lstEstadosOperacion</formula1>
    </dataValidation>
    <dataValidation type="list" allowBlank="1" showInputMessage="1" showErrorMessage="1" errorTitle="Valor no permitido" error="Selecciona un valor de la lista." sqref="G8" xr:uid="{C1616DC8-966C-4339-AA41-BF7215F2F02B}">
      <formula1>lstEstadosCalidad</formula1>
    </dataValidation>
    <dataValidation type="list" allowBlank="1" showInputMessage="1" showErrorMessage="1" errorTitle="Valor no permitido" error="Selecciona un valor de la lista." sqref="L8 H8" xr:uid="{84DFBEC9-F44E-4548-A299-851A03F9AF9F}">
      <formula1>lstProductos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E114-7328-448D-84A5-D1C6D8E08719}">
  <sheetPr codeName="Hoja5">
    <tabColor rgb="FFC0392B"/>
    <pageSetUpPr fitToPage="1"/>
  </sheetPr>
  <dimension ref="A1:Q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5" customWidth="1"/>
    <col min="2" max="2" width="19.7109375" style="2" customWidth="1"/>
    <col min="3" max="3" width="21.7109375" style="2" customWidth="1"/>
    <col min="4" max="5" width="19.7109375" style="2" customWidth="1"/>
    <col min="6" max="6" width="16.7109375" style="2" customWidth="1"/>
    <col min="7" max="7" width="18.7109375" style="2" customWidth="1"/>
    <col min="8" max="8" width="22.7109375" style="2" customWidth="1"/>
    <col min="9" max="9" width="15.7109375" style="2" customWidth="1"/>
    <col min="10" max="10" width="19.7109375" style="2" customWidth="1"/>
    <col min="11" max="11" width="13.7109375" style="2" customWidth="1"/>
    <col min="12" max="12" width="18.7109375" style="2" customWidth="1"/>
    <col min="13" max="13" width="24.7109375" style="2" customWidth="1"/>
    <col min="14" max="14" width="20.7109375" style="2" customWidth="1"/>
    <col min="15" max="15" width="28.7109375" style="2" customWidth="1"/>
    <col min="16" max="16" width="18.7109375" style="2" customWidth="1"/>
    <col min="17" max="17" width="32.7109375" style="2" customWidth="1"/>
    <col min="18" max="16384" width="11.42578125" style="2"/>
  </cols>
  <sheetData>
    <row r="1" spans="1:17" ht="36" customHeight="1" x14ac:dyDescent="0.25">
      <c r="A1" s="32" t="s">
        <v>224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</row>
    <row r="2" spans="1:17" ht="30" customHeight="1" x14ac:dyDescent="0.25">
      <c r="A2" s="33" t="s">
        <v>225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</row>
    <row r="5" spans="1:17" ht="32.1" customHeight="1" x14ac:dyDescent="0.25">
      <c r="A5" s="34" t="s">
        <v>226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</row>
    <row r="6" spans="1:17" ht="8.1" customHeight="1" x14ac:dyDescent="0.25"/>
    <row r="7" spans="1:17" ht="36" customHeight="1" x14ac:dyDescent="0.25">
      <c r="A7" s="16" t="s">
        <v>227</v>
      </c>
      <c r="B7" s="5" t="s">
        <v>228</v>
      </c>
      <c r="C7" s="3" t="s">
        <v>229</v>
      </c>
      <c r="D7" s="3" t="s">
        <v>133</v>
      </c>
      <c r="E7" s="3" t="s">
        <v>113</v>
      </c>
      <c r="F7" s="3" t="s">
        <v>161</v>
      </c>
      <c r="G7" s="5" t="s">
        <v>162</v>
      </c>
      <c r="H7" s="3" t="s">
        <v>181</v>
      </c>
      <c r="I7" s="4" t="s">
        <v>180</v>
      </c>
      <c r="J7" s="4" t="s">
        <v>230</v>
      </c>
      <c r="K7" s="3" t="s">
        <v>23</v>
      </c>
      <c r="L7" s="3" t="s">
        <v>231</v>
      </c>
      <c r="M7" s="3" t="s">
        <v>202</v>
      </c>
      <c r="N7" s="3" t="s">
        <v>130</v>
      </c>
      <c r="O7" s="3" t="s">
        <v>171</v>
      </c>
      <c r="P7" s="3" t="s">
        <v>150</v>
      </c>
      <c r="Q7" s="6" t="s">
        <v>131</v>
      </c>
    </row>
    <row r="8" spans="1:17" x14ac:dyDescent="0.25">
      <c r="A8" s="18"/>
      <c r="B8" s="13"/>
      <c r="C8" s="11"/>
      <c r="D8" s="11"/>
      <c r="E8" s="11"/>
      <c r="F8" s="11"/>
      <c r="G8" s="13"/>
      <c r="H8" s="11"/>
      <c r="I8" s="12"/>
      <c r="J8" s="12"/>
      <c r="K8" s="11"/>
      <c r="L8" s="11"/>
      <c r="M8" s="11"/>
      <c r="N8" s="11"/>
      <c r="O8" s="11"/>
      <c r="P8" s="11"/>
      <c r="Q8" s="14"/>
    </row>
  </sheetData>
  <mergeCells count="3">
    <mergeCell ref="A1:Q1"/>
    <mergeCell ref="A2:Q2"/>
    <mergeCell ref="A5:Q5"/>
  </mergeCells>
  <dataValidations count="7">
    <dataValidation type="list" allowBlank="1" showInputMessage="1" showErrorMessage="1" errorTitle="Valor no permitido" error="Selecciona un valor de la lista." sqref="P8" xr:uid="{230B49F2-6171-4256-A463-195AB01057C7}">
      <formula1>lstEstadosOperacion</formula1>
    </dataValidation>
    <dataValidation type="list" allowBlank="1" showInputMessage="1" showErrorMessage="1" errorTitle="Valor no permitido" error="Selecciona un valor de la lista." sqref="E8" xr:uid="{933EFBE3-94F7-42A9-94B6-D3646DD2D021}">
      <formula1>lstProductos</formula1>
    </dataValidation>
    <dataValidation type="list" allowBlank="1" showInputMessage="1" showErrorMessage="1" errorTitle="Valor no permitido" error="Selecciona un valor de la lista." sqref="C8" xr:uid="{529AB3B9-3E16-4E34-8FD1-A861DE496779}">
      <formula1>lstTiposCalidadMerma</formula1>
    </dataValidation>
    <dataValidation type="list" allowBlank="1" showInputMessage="1" showErrorMessage="1" errorTitle="Valor no permitido" error="Selecciona un valor de la lista." sqref="D8" xr:uid="{52ADCF6B-1010-4935-A7B7-4AFB369E87AB}">
      <formula1>lstUbicaciones</formula1>
    </dataValidation>
    <dataValidation type="list" allowBlank="1" showInputMessage="1" showErrorMessage="1" errorTitle="Valor no permitido" error="Selecciona un valor de la lista." sqref="H8" xr:uid="{4902E94F-38BD-4441-A302-3A6938FEC87F}">
      <formula1>lstCondiciones</formula1>
    </dataValidation>
    <dataValidation type="list" allowBlank="1" showInputMessage="1" showErrorMessage="1" errorTitle="Valor no permitido" error="Selecciona un valor de la lista." sqref="K8" xr:uid="{99874774-DF9B-432F-8C09-35115EE88F3C}">
      <formula1>lstUnidades</formula1>
    </dataValidation>
    <dataValidation type="list" allowBlank="1" showInputMessage="1" showErrorMessage="1" errorTitle="Valor no permitido" error="Selecciona un valor de la lista." sqref="L8" xr:uid="{97657979-4A1B-42DA-A9BB-C625411C1C75}">
      <formula1>lstDisposiciones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471A3-F91B-45B2-A62A-2669E1A76EB1}">
  <sheetPr codeName="Hoja4">
    <tabColor rgb="FFC0392B"/>
    <pageSetUpPr fitToPage="1"/>
  </sheetPr>
  <dimension ref="A1:N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25.7109375" style="15" customWidth="1"/>
    <col min="2" max="2" width="19.7109375" style="2" customWidth="1"/>
    <col min="3" max="3" width="18.7109375" style="2" customWidth="1"/>
    <col min="4" max="4" width="23.7109375" style="2" customWidth="1"/>
    <col min="5" max="6" width="20.7109375" style="2" customWidth="1"/>
    <col min="7" max="7" width="17.7109375" style="2" customWidth="1"/>
    <col min="8" max="8" width="18.7109375" style="2" customWidth="1"/>
    <col min="9" max="9" width="15.7109375" style="2" customWidth="1"/>
    <col min="10" max="11" width="20.7109375" style="2" customWidth="1"/>
    <col min="12" max="12" width="18.7109375" style="2" customWidth="1"/>
    <col min="13" max="13" width="28.7109375" style="2" customWidth="1"/>
    <col min="14" max="14" width="32.7109375" style="2" customWidth="1"/>
    <col min="15" max="16384" width="11.42578125" style="2"/>
  </cols>
  <sheetData>
    <row r="1" spans="1:14" ht="36" customHeight="1" x14ac:dyDescent="0.25">
      <c r="A1" s="32" t="s">
        <v>232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</row>
    <row r="2" spans="1:14" ht="30" customHeight="1" x14ac:dyDescent="0.25">
      <c r="A2" s="33" t="s">
        <v>233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</row>
    <row r="5" spans="1:14" ht="32.1" customHeight="1" x14ac:dyDescent="0.25">
      <c r="A5" s="34" t="s">
        <v>234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</row>
    <row r="6" spans="1:14" ht="8.1" customHeight="1" x14ac:dyDescent="0.25"/>
    <row r="7" spans="1:14" ht="36" customHeight="1" x14ac:dyDescent="0.25">
      <c r="A7" s="16" t="s">
        <v>235</v>
      </c>
      <c r="B7" s="5" t="s">
        <v>198</v>
      </c>
      <c r="C7" s="3" t="s">
        <v>236</v>
      </c>
      <c r="D7" s="3" t="s">
        <v>237</v>
      </c>
      <c r="E7" s="3" t="s">
        <v>147</v>
      </c>
      <c r="F7" s="3" t="s">
        <v>148</v>
      </c>
      <c r="G7" s="4" t="s">
        <v>238</v>
      </c>
      <c r="H7" s="4" t="s">
        <v>166</v>
      </c>
      <c r="I7" s="4" t="s">
        <v>191</v>
      </c>
      <c r="J7" s="3" t="s">
        <v>169</v>
      </c>
      <c r="K7" s="3" t="s">
        <v>170</v>
      </c>
      <c r="L7" s="3" t="s">
        <v>150</v>
      </c>
      <c r="M7" s="3" t="s">
        <v>171</v>
      </c>
      <c r="N7" s="6" t="s">
        <v>131</v>
      </c>
    </row>
    <row r="8" spans="1:14" x14ac:dyDescent="0.25">
      <c r="A8" s="18"/>
      <c r="B8" s="13"/>
      <c r="C8" s="11"/>
      <c r="D8" s="11"/>
      <c r="E8" s="11"/>
      <c r="F8" s="11"/>
      <c r="G8" s="12"/>
      <c r="H8" s="12"/>
      <c r="I8" s="21" t="str">
        <f>IF(OR(G8="",H8=""),"",H8-G8)</f>
        <v/>
      </c>
      <c r="J8" s="11"/>
      <c r="K8" s="11"/>
      <c r="L8" s="11"/>
      <c r="M8" s="11"/>
      <c r="N8" s="14"/>
    </row>
  </sheetData>
  <mergeCells count="3">
    <mergeCell ref="A1:N1"/>
    <mergeCell ref="A2:N2"/>
    <mergeCell ref="A5:N5"/>
  </mergeCells>
  <dataValidations count="3">
    <dataValidation type="list" allowBlank="1" showInputMessage="1" showErrorMessage="1" errorTitle="Valor no permitido" error="Selecciona un valor de la lista." sqref="L8" xr:uid="{CBE98640-328F-4050-BD8E-FA334A9A4806}">
      <formula1>lstEstadosOperacion</formula1>
    </dataValidation>
    <dataValidation type="list" allowBlank="1" showInputMessage="1" showErrorMessage="1" errorTitle="Valor no permitido" error="Selecciona un valor de la lista." sqref="E8:F8" xr:uid="{B383DE20-EB85-43AE-90F9-C160B6128EF5}">
      <formula1>lstUbicaciones</formula1>
    </dataValidation>
    <dataValidation type="list" allowBlank="1" showInputMessage="1" showErrorMessage="1" errorTitle="Valor no permitido" error="Selecciona un valor de la lista." sqref="C8" xr:uid="{44120113-2802-44A3-AED0-8F21FC4339B9}">
      <formula1>lstTiposRetornable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7D364-9E0A-4683-A418-28A56F884625}">
  <sheetPr codeName="Hoja3">
    <tabColor rgb="FF1F6AA6"/>
    <pageSetUpPr fitToPage="1"/>
  </sheetPr>
  <dimension ref="A1:S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5" customWidth="1"/>
    <col min="2" max="2" width="22.7109375" style="2" customWidth="1"/>
    <col min="3" max="5" width="18.7109375" style="2" customWidth="1"/>
    <col min="6" max="6" width="25.7109375" style="2" customWidth="1"/>
    <col min="7" max="7" width="24.7109375" style="2" customWidth="1"/>
    <col min="8" max="8" width="20.7109375" style="2" customWidth="1"/>
    <col min="9" max="9" width="22.7109375" style="2" customWidth="1"/>
    <col min="10" max="10" width="18.7109375" style="2" customWidth="1"/>
    <col min="11" max="11" width="25.7109375" style="2" customWidth="1"/>
    <col min="12" max="12" width="22.7109375" style="2" customWidth="1"/>
    <col min="13" max="13" width="18.7109375" style="2" customWidth="1"/>
    <col min="14" max="15" width="25.7109375" style="2" customWidth="1"/>
    <col min="16" max="16" width="30.7109375" style="2" customWidth="1"/>
    <col min="17" max="17" width="28.7109375" style="2" customWidth="1"/>
    <col min="18" max="18" width="21.7109375" style="2" customWidth="1"/>
    <col min="19" max="19" width="32.7109375" style="2" customWidth="1"/>
    <col min="20" max="16384" width="11.42578125" style="2"/>
  </cols>
  <sheetData>
    <row r="1" spans="1:19" ht="36" customHeight="1" x14ac:dyDescent="0.25">
      <c r="A1" s="32" t="s">
        <v>239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</row>
    <row r="2" spans="1:19" ht="30" customHeight="1" x14ac:dyDescent="0.25">
      <c r="A2" s="33" t="s">
        <v>240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5" spans="1:19" ht="32.1" customHeight="1" x14ac:dyDescent="0.25">
      <c r="A5" s="34" t="s">
        <v>241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</row>
    <row r="6" spans="1:19" ht="8.1" customHeight="1" x14ac:dyDescent="0.25"/>
    <row r="7" spans="1:19" ht="36" customHeight="1" x14ac:dyDescent="0.25">
      <c r="A7" s="16" t="s">
        <v>242</v>
      </c>
      <c r="B7" s="3" t="s">
        <v>134</v>
      </c>
      <c r="C7" s="3" t="s">
        <v>135</v>
      </c>
      <c r="D7" s="3" t="s">
        <v>136</v>
      </c>
      <c r="E7" s="3" t="s">
        <v>137</v>
      </c>
      <c r="F7" s="3" t="s">
        <v>243</v>
      </c>
      <c r="G7" s="3" t="s">
        <v>244</v>
      </c>
      <c r="H7" s="3" t="s">
        <v>245</v>
      </c>
      <c r="I7" s="3" t="s">
        <v>246</v>
      </c>
      <c r="J7" s="3" t="s">
        <v>247</v>
      </c>
      <c r="K7" s="3" t="s">
        <v>248</v>
      </c>
      <c r="L7" s="3" t="s">
        <v>249</v>
      </c>
      <c r="M7" s="3" t="s">
        <v>250</v>
      </c>
      <c r="N7" s="3" t="s">
        <v>251</v>
      </c>
      <c r="O7" s="3" t="s">
        <v>252</v>
      </c>
      <c r="P7" s="3" t="s">
        <v>253</v>
      </c>
      <c r="Q7" s="3" t="s">
        <v>171</v>
      </c>
      <c r="R7" s="3" t="s">
        <v>128</v>
      </c>
      <c r="S7" s="6" t="s">
        <v>131</v>
      </c>
    </row>
    <row r="8" spans="1:19" x14ac:dyDescent="0.25">
      <c r="A8" s="18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4"/>
    </row>
  </sheetData>
  <mergeCells count="3">
    <mergeCell ref="A1:S1"/>
    <mergeCell ref="A2:S2"/>
    <mergeCell ref="A5:S5"/>
  </mergeCells>
  <dataValidations count="3">
    <dataValidation type="list" allowBlank="1" showInputMessage="1" showErrorMessage="1" errorTitle="Valor no permitido" error="Selecciona un valor de la lista." sqref="R8" xr:uid="{DDC92658-ABDD-4ADC-B0C8-6B3993F87A38}">
      <formula1>lstEstadosRegistro</formula1>
    </dataValidation>
    <dataValidation type="list" allowBlank="1" showInputMessage="1" showErrorMessage="1" errorTitle="Valor no permitido" error="Selecciona un valor de la lista." sqref="B8" xr:uid="{4433B21A-4219-49EA-8A7B-150BDEB1B477}">
      <formula1>lstSedes</formula1>
    </dataValidation>
    <dataValidation type="list" allowBlank="1" showInputMessage="1" showErrorMessage="1" errorTitle="Valor no permitido" error="Selecciona un valor de la lista." sqref="F8" xr:uid="{0E4DEAF4-A273-4779-A343-F01F137A6E4B}">
      <formula1>lstPerfilesEstacion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EF66C-888D-4B19-8E4E-D90779216825}">
  <sheetPr codeName="Hoja2">
    <tabColor rgb="FF27845E"/>
  </sheetPr>
  <dimension ref="A1:L23"/>
  <sheetViews>
    <sheetView showGridLines="0" workbookViewId="0">
      <selection sqref="A1:L1"/>
    </sheetView>
  </sheetViews>
  <sheetFormatPr baseColWidth="10" defaultRowHeight="13.5" x14ac:dyDescent="0.25"/>
  <cols>
    <col min="1" max="1" width="24.7109375" style="2" customWidth="1"/>
    <col min="2" max="2" width="14.7109375" style="2" customWidth="1"/>
    <col min="3" max="12" width="12.7109375" style="2" customWidth="1"/>
    <col min="13" max="16384" width="11.42578125" style="2"/>
  </cols>
  <sheetData>
    <row r="1" spans="1:12" ht="36" customHeight="1" x14ac:dyDescent="0.25">
      <c r="A1" s="32" t="s">
        <v>254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</row>
    <row r="2" spans="1:12" ht="30" customHeight="1" x14ac:dyDescent="0.25">
      <c r="A2" s="33" t="s">
        <v>255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5" spans="1:12" ht="32.1" customHeight="1" x14ac:dyDescent="0.25">
      <c r="A5" s="34" t="s">
        <v>256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</row>
    <row r="7" spans="1:12" x14ac:dyDescent="0.25">
      <c r="A7" s="35" t="s">
        <v>257</v>
      </c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</row>
    <row r="9" spans="1:12" x14ac:dyDescent="0.25">
      <c r="A9" s="36" t="s">
        <v>258</v>
      </c>
      <c r="B9" s="37"/>
      <c r="D9" s="36" t="s">
        <v>259</v>
      </c>
      <c r="E9" s="37"/>
      <c r="G9" s="36" t="s">
        <v>260</v>
      </c>
      <c r="H9" s="37"/>
      <c r="J9" s="36" t="s">
        <v>261</v>
      </c>
      <c r="K9" s="37"/>
    </row>
    <row r="10" spans="1:12" x14ac:dyDescent="0.25">
      <c r="A10" s="46">
        <f>COUNTIF(tblCatalogos[estado_registro],"ACTIVO")</f>
        <v>950</v>
      </c>
      <c r="B10" s="47"/>
      <c r="D10" s="54">
        <f>COUNTIFS('03_SOLICITUDES'!$A$8:$A$200,"&lt;&gt;",'03_SOLICITUDES'!$G$8:$G$200,"&lt;&gt;CERRADA",'03_SOLICITUDES'!$G$8:$G$200,"&lt;&gt;CANCELADA")</f>
        <v>0</v>
      </c>
      <c r="E10" s="55"/>
      <c r="G10" s="42">
        <f>COUNTIF('04_REMISIONES'!$F$8:$F$200,"EN TRÁNSITO")</f>
        <v>0</v>
      </c>
      <c r="H10" s="43"/>
      <c r="J10" s="38">
        <f>COUNTIFS('04_REMISIONES'!$A$8:$A$200,"&lt;&gt;",'04_REMISIONES'!$R$8:$R$200,"&lt;&gt;0")</f>
        <v>0</v>
      </c>
      <c r="K10" s="39"/>
    </row>
    <row r="11" spans="1:12" x14ac:dyDescent="0.25">
      <c r="A11" s="48"/>
      <c r="B11" s="49"/>
      <c r="D11" s="56"/>
      <c r="E11" s="57"/>
      <c r="G11" s="44"/>
      <c r="H11" s="45"/>
      <c r="J11" s="40"/>
      <c r="K11" s="41"/>
    </row>
    <row r="13" spans="1:12" x14ac:dyDescent="0.25">
      <c r="A13" s="36" t="s">
        <v>262</v>
      </c>
      <c r="B13" s="37"/>
      <c r="D13" s="36" t="s">
        <v>263</v>
      </c>
      <c r="E13" s="37"/>
      <c r="G13" s="36" t="s">
        <v>264</v>
      </c>
      <c r="H13" s="37"/>
      <c r="J13" s="36" t="s">
        <v>265</v>
      </c>
      <c r="K13" s="37"/>
    </row>
    <row r="14" spans="1:12" x14ac:dyDescent="0.25">
      <c r="A14" s="38">
        <f>COUNTIFS('06_CONTEOS'!$A$8:$A$200,"&lt;&gt;",'06_CONTEOS'!$M$8:$M$200,"&lt;&gt;0")</f>
        <v>0</v>
      </c>
      <c r="B14" s="39"/>
      <c r="D14" s="42">
        <f>COUNTIFS('09_CALIDAD_MERMAS'!$A$8:$A$200,"&lt;&gt;",'09_CALIDAD_MERMAS'!$P$8:$P$200,"&lt;&gt;CERRADA",'09_CALIDAD_MERMAS'!$P$8:$P$200,"&lt;&gt;CANCELADA")</f>
        <v>0</v>
      </c>
      <c r="E14" s="43"/>
      <c r="G14" s="46">
        <f>COUNTIF('11_ESTACIONES'!$R$8:$R$200,"POR VALIDAR")</f>
        <v>0</v>
      </c>
      <c r="H14" s="47"/>
      <c r="J14" s="50">
        <f>IFERROR(AVERAGE('08_PRODUCCION'!$R$8:$R$200),0)</f>
        <v>0</v>
      </c>
      <c r="K14" s="51"/>
    </row>
    <row r="15" spans="1:12" x14ac:dyDescent="0.25">
      <c r="A15" s="40"/>
      <c r="B15" s="41"/>
      <c r="D15" s="44"/>
      <c r="E15" s="45"/>
      <c r="G15" s="48"/>
      <c r="H15" s="49"/>
      <c r="J15" s="52"/>
      <c r="K15" s="53"/>
    </row>
    <row r="18" spans="1:2" x14ac:dyDescent="0.25">
      <c r="A18" s="22" t="s">
        <v>266</v>
      </c>
      <c r="B18" s="22" t="s">
        <v>267</v>
      </c>
    </row>
    <row r="19" spans="1:2" x14ac:dyDescent="0.25">
      <c r="A19" s="23" t="s">
        <v>259</v>
      </c>
      <c r="B19" s="23">
        <f>COUNTIFS('03_SOLICITUDES'!$A$8:$A$200,"&lt;&gt;",'03_SOLICITUDES'!$G$8:$G$200,"&lt;&gt;CERRADA",'03_SOLICITUDES'!$G$8:$G$200,"&lt;&gt;CANCELADA")</f>
        <v>0</v>
      </c>
    </row>
    <row r="20" spans="1:2" x14ac:dyDescent="0.25">
      <c r="A20" s="23" t="s">
        <v>260</v>
      </c>
      <c r="B20" s="23">
        <f>COUNTIF('04_REMISIONES'!$F$8:$F$200,"EN TRÁNSITO")</f>
        <v>0</v>
      </c>
    </row>
    <row r="21" spans="1:2" x14ac:dyDescent="0.25">
      <c r="A21" s="23" t="s">
        <v>261</v>
      </c>
      <c r="B21" s="23">
        <f>COUNTIFS('04_REMISIONES'!$A$8:$A$200,"&lt;&gt;",'04_REMISIONES'!$R$8:$R$200,"&lt;&gt;0")</f>
        <v>0</v>
      </c>
    </row>
    <row r="22" spans="1:2" x14ac:dyDescent="0.25">
      <c r="A22" s="23" t="s">
        <v>268</v>
      </c>
      <c r="B22" s="23">
        <f>COUNTIFS('06_CONTEOS'!$A$8:$A$200,"&lt;&gt;",'06_CONTEOS'!$M$8:$M$200,"&lt;&gt;0")</f>
        <v>0</v>
      </c>
    </row>
    <row r="23" spans="1:2" x14ac:dyDescent="0.25">
      <c r="A23" s="23" t="s">
        <v>263</v>
      </c>
      <c r="B23" s="23">
        <f>COUNTIFS('09_CALIDAD_MERMAS'!$A$8:$A$200,"&lt;&gt;",'09_CALIDAD_MERMAS'!$P$8:$P$200,"&lt;&gt;CERRADA",'09_CALIDAD_MERMAS'!$P$8:$P$200,"&lt;&gt;CANCELADA")</f>
        <v>0</v>
      </c>
    </row>
  </sheetData>
  <mergeCells count="20">
    <mergeCell ref="J10:K11"/>
    <mergeCell ref="A13:B13"/>
    <mergeCell ref="A14:B15"/>
    <mergeCell ref="D13:E13"/>
    <mergeCell ref="D14:E15"/>
    <mergeCell ref="G13:H13"/>
    <mergeCell ref="G14:H15"/>
    <mergeCell ref="J13:K13"/>
    <mergeCell ref="J14:K15"/>
    <mergeCell ref="A10:B11"/>
    <mergeCell ref="D10:E11"/>
    <mergeCell ref="G10:H11"/>
    <mergeCell ref="A1:L1"/>
    <mergeCell ref="A2:L2"/>
    <mergeCell ref="A5:L5"/>
    <mergeCell ref="A7:L7"/>
    <mergeCell ref="A9:B9"/>
    <mergeCell ref="D9:E9"/>
    <mergeCell ref="G9:H9"/>
    <mergeCell ref="J9:K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20</vt:i4>
      </vt:variant>
    </vt:vector>
  </HeadingPairs>
  <TitlesOfParts>
    <vt:vector size="33" baseType="lpstr">
      <vt:lpstr>00_INICIO</vt:lpstr>
      <vt:lpstr>01_CATALOGOS</vt:lpstr>
      <vt:lpstr>02_UBICACIONES</vt:lpstr>
      <vt:lpstr>03_SOLICITUDES</vt:lpstr>
      <vt:lpstr>04_REMISIONES</vt:lpstr>
      <vt:lpstr>05_RECEPCIONES</vt:lpstr>
      <vt:lpstr>06_CONTEOS</vt:lpstr>
      <vt:lpstr>07_MOVIMIENTOS</vt:lpstr>
      <vt:lpstr>08_PRODUCCION</vt:lpstr>
      <vt:lpstr>09_CALIDAD_MERMAS</vt:lpstr>
      <vt:lpstr>10_RETORNABLES</vt:lpstr>
      <vt:lpstr>11_ESTACIONES</vt:lpstr>
      <vt:lpstr>12_PANEL</vt:lpstr>
      <vt:lpstr>lstCondiciones</vt:lpstr>
      <vt:lpstr>lstDecisiones</vt:lpstr>
      <vt:lpstr>lstDisposiciones</vt:lpstr>
      <vt:lpstr>lstEstadosCalidad</vt:lpstr>
      <vt:lpstr>lstEstadosOperacion</vt:lpstr>
      <vt:lpstr>lstEstadosRegistro</vt:lpstr>
      <vt:lpstr>lstEstadosRemision</vt:lpstr>
      <vt:lpstr>lstEstadosSolicitud</vt:lpstr>
      <vt:lpstr>lstMetodosConteo</vt:lpstr>
      <vt:lpstr>lstMetodosRecepcion</vt:lpstr>
      <vt:lpstr>lstPerfilesEstacion</vt:lpstr>
      <vt:lpstr>lstPrioridades</vt:lpstr>
      <vt:lpstr>lstProductos</vt:lpstr>
      <vt:lpstr>lstSedes</vt:lpstr>
      <vt:lpstr>lstSiNo</vt:lpstr>
      <vt:lpstr>lstTiposCalidadMerma</vt:lpstr>
      <vt:lpstr>lstTiposMovimiento</vt:lpstr>
      <vt:lpstr>lstTiposRetornable</vt:lpstr>
      <vt:lpstr>lstUbicaciones</vt:lpstr>
      <vt:lpstr>lstUnidades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Ibarra Ariza</dc:creator>
  <cp:lastModifiedBy>Carlos Ibarra Ariza</cp:lastModifiedBy>
  <dcterms:created xsi:type="dcterms:W3CDTF">2026-07-30T01:58:52Z</dcterms:created>
  <dcterms:modified xsi:type="dcterms:W3CDTF">2026-07-30T02:14:15Z</dcterms:modified>
</cp:coreProperties>
</file>